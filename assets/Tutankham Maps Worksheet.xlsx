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4 Level Maps" sheetId="1" r:id="rId5"/>
    <sheet state="visible" name="5-8 Level Maps" sheetId="2" r:id="rId6"/>
    <sheet state="visible" name="Code for levels 1-4" sheetId="3" r:id="rId7"/>
  </sheets>
  <definedNames/>
  <calcPr/>
</workbook>
</file>

<file path=xl/sharedStrings.xml><?xml version="1.0" encoding="utf-8"?>
<sst xmlns="http://schemas.openxmlformats.org/spreadsheetml/2006/main" count="502" uniqueCount="99">
  <si>
    <t>Cell values: 0=floor 1=wall 2=key 3=door 4=treasure 5=generator 6=teleport</t>
  </si>
  <si>
    <t>Current Code</t>
  </si>
  <si>
    <t>Worksheet</t>
  </si>
  <si>
    <t>{1,1,1,1,1,1,1,1,1,1,1,1,1,1,1,1},</t>
  </si>
  <si>
    <t>{1,0,0,0,0,0,0,0,0,4,0,0,0,0,0,1},</t>
  </si>
  <si>
    <t>{1,0,1,1,1,0,1,1,0,1,1,0,1,1,0,1},</t>
  </si>
  <si>
    <t>{1,0,0,0,0,0,0,1,1,1,1,0,0,0,2,1},</t>
  </si>
  <si>
    <t>{1,1,1,1,0,1,1,4,1,1,1,0,1,0,1,1},</t>
  </si>
  <si>
    <t>{1,0,0,0,0,0,5,1,1,1,0,0,0,1,1,1},</t>
  </si>
  <si>
    <t>{1,0,1,1,0,1,1,1,5,1,1,1,0,1,6,1},</t>
  </si>
  <si>
    <t>{1,0,0,0,0,0,1,0,0,0,0,0,0,0,0,1},</t>
  </si>
  <si>
    <t>{1,0,0,1,1,0,0,0,0,0,0,0,0,0,0,1},</t>
  </si>
  <si>
    <t>{1,1,1,0,1,0,1,1,0,1,1,1,0,1,1,1},</t>
  </si>
  <si>
    <t>{1,0,0,0,1,0,0,1,5,0,0,0,0,0,0,1},</t>
  </si>
  <si>
    <t>{1,0,1,0,1,1,0,1,1,0,1,1,0,1,1,1},</t>
  </si>
  <si>
    <t>{1,0,1,0,0,0,0,0,0,0,0,0,0,0,0,1},</t>
  </si>
  <si>
    <t>{1,0,1,1,0,1,1,0,1,1,0,1,1,0,1,1},</t>
  </si>
  <si>
    <t>{1,6,0,0,0,0,0,0,0,0,0,0,0,0,3,1},</t>
  </si>
  <si>
    <t>{1,0,0,0,0,0,0,0,0,0,0,0,0,0,0,1},</t>
  </si>
  <si>
    <t>{1,0,1,1,1,0,1,1,0,1,1,0,1,1,6,1},</t>
  </si>
  <si>
    <t>{1,0,0,0,0,0,0,1,1,1,1,0,0,0,0,1},</t>
  </si>
  <si>
    <t>{1,1,1,1,5,1,1,0,1,1,1,0,1,0,1,1},</t>
  </si>
  <si>
    <t>{1,0,0,0,0,0,0,1,1,1,0,0,0,1,1,1},</t>
  </si>
  <si>
    <t>{1,0,1,1,0,1,1,1,1,1,1,1,0,1,5,1},</t>
  </si>
  <si>
    <t>{1,0,0,0,0,0,4,0,0,2,0,0,0,0,0,1},</t>
  </si>
  <si>
    <t>{1,1,1,0,1,0,1,1,0,1,1,1,0,1,5,1},</t>
  </si>
  <si>
    <t>{1,0,0,0,1,0,0,1,0,0,0,0,0,0,0,1},</t>
  </si>
  <si>
    <t>{1,0,0,0,1,0,0,0,0,4,1,0,0,0,0,1},</t>
  </si>
  <si>
    <t>{1,0,1,1,1,0,1,1,0,1,1,1,0,1,0,1},</t>
  </si>
  <si>
    <t>{1,0,0,0,0,0,1,0,0,0,0,0,2,1,0,1},</t>
  </si>
  <si>
    <t>{1,1,0,1,1,1,1,0,1,1,0,1,1,1,0,1},</t>
  </si>
  <si>
    <t>{1,0,1,1,0,1,5,1,1,0,1,1,0,5,1,1},</t>
  </si>
  <si>
    <t>{1,0,0,0,0,0,0,0,0,0,0,0,0,0,6,1},</t>
  </si>
  <si>
    <t>},</t>
  </si>
  <si>
    <t>{1,0,0,0,0,0,1,0,0,0,1,0,0,0,0,1},</t>
  </si>
  <si>
    <t>{1,0,1,1,0,1,1,0,1,0,1,0,1,1,5,1},</t>
  </si>
  <si>
    <t>{1,0,0,1,0,0,0,0,1,0,0,0,0,0,1,1},</t>
  </si>
  <si>
    <t>{1,1,0,1,1,0,1,1,1,1,1,0,1,1,1,1},</t>
  </si>
  <si>
    <t>{1,0,1,1,0,1,0,1,1,0,1,5,1,0,1,1},</t>
  </si>
  <si>
    <t>{1,1,0,1,1,0,1,1,1,0,1,0,1,1,0,1},</t>
  </si>
  <si>
    <t>{1,0,0,0,0,0,0,1,0,0,0,0,2,0,0,1},</t>
  </si>
  <si>
    <t>{1,0,1,1,1,0,1,1,1,1,0,1,1,1,1,1},</t>
  </si>
  <si>
    <t>{1,1,0,1,5,1,1,0,1,0,5,1,0,1,1,1},</t>
  </si>
  <si>
    <t>{1,0,0,0,1,0,0,0,0,0,1,0,0,0,0,1},</t>
  </si>
  <si>
    <t>{1,1,0,1,1,0,1,1,1,0,1,0,1,1,5,1},</t>
  </si>
  <si>
    <t>{1,0,0,0,0,0,0,1,0,0,0,0,0,0,1,1},</t>
  </si>
  <si>
    <t>{1,1,0,1,0,1,1,0,1,0,5,1,0,1,1,1},</t>
  </si>
  <si>
    <t>{1,0,0,0,1,0,0,1,0,4,0,1,0,0,0,1},</t>
  </si>
  <si>
    <t>{1,0,1,0,1,0,1,1,1,0,1,1,1,0,1,1},</t>
  </si>
  <si>
    <t>{1,0,1,0,0,0,0,0,0,0,0,0,2,0,0,1},</t>
  </si>
  <si>
    <t>{1,1,1,0,1,1,1,0,1,1,1,0,1,1,0,1},</t>
  </si>
  <si>
    <t>{1,0,0,0,0,0,0,0,0,0,0,0,0,5,0,1},</t>
  </si>
  <si>
    <t>{1,0,1,1,0,1,5,1,0,1,1,0,1,1,0,1},</t>
  </si>
  <si>
    <t>{   /* Zone B */</t>
  </si>
  <si>
    <t>{1,0,0,0,1,0,0,1,0,0,0,1,0,0,0,1},</t>
  </si>
  <si>
    <t>{1,0,1,0,1,0,1,1,1,0,1,1,1,0,5,1},</t>
  </si>
  <si>
    <t>{1,0,1,0,0,0,0,0,0,0,0,0,0,0,1,1},</t>
  </si>
  <si>
    <t>{1,1,1,0,1,1,1,0,1,1,1,0,1,1,1,1},</t>
  </si>
  <si>
    <t>{1,0,0,0,1,0,0,0,1,4,0,0,1,0,5,1},</t>
  </si>
  <si>
    <t>{1,5,1,0,1,0,1,0,1,0,1,0,1,0,0,1},</t>
  </si>
  <si>
    <t>{1,0,1,0,0,0,1,0,0,0,1,0,2,0,0,1},</t>
  </si>
  <si>
    <t>{1,0,1,1,1,0,1,1,1,0,1,1,1,0,1,1},</t>
  </si>
  <si>
    <t>{1,1,0,1,5,1,0,1,1,0,5,1,0,1,1,1},</t>
  </si>
  <si>
    <t>{1,0,0,0,1,0,0,0,1,0,0,0,1,0,0,1},</t>
  </si>
  <si>
    <t>{1,5,1,0,1,0,1,0,1,0,1,0,1,0,5,1},</t>
  </si>
  <si>
    <t>{1,0,1,0,0,0,1,0,0,0,1,0,0,0,1,1},</t>
  </si>
  <si>
    <t>{1,0,1,1,1,0,1,1,1,0,1,1,1,1,1,1},</t>
  </si>
  <si>
    <t>{1,0,1,1,1,0,1,5,1,0,1,1,1,0,0,1},</t>
  </si>
  <si>
    <t>{1,0,0,0,0,0,1,0,0,0,0,0,2,0,0,1},</t>
  </si>
  <si>
    <t>{1,1,0,1,1,1,1,0,1,1,1,0,1,1,1,1},</t>
  </si>
  <si>
    <t>{1,0,0,0,0,0,0,0,0,0,5,0,0,0,0,1},</t>
  </si>
  <si>
    <t>{1,0,1,5,0,1,1,0,1,0,1,1,0,5,1,1},</t>
  </si>
  <si>
    <t>{1,0,1,1,1,0,1,5,1,0,1,1,1,0,5,1},</t>
  </si>
  <si>
    <t>{1,0,0,0,0,0,1,0,0,0,0,0,0,0,1,1},</t>
  </si>
  <si>
    <t>{1,0,0,0,0,0,1,0,0,4,0,0,1,0,0,1},</t>
  </si>
  <si>
    <t>{1,5,1,0,1,0,1,0,1,5,1,0,1,0,0,1},</t>
  </si>
  <si>
    <t>{1,0,1,0,0,0,0,0,1,0,0,0,2,0,0,1},</t>
  </si>
  <si>
    <t>{1,0,1,1,1,1,0,1,1,0,1,1,1,1,1,1},</t>
  </si>
  <si>
    <t>{1,1,5,1,0,1,1,0,1,5,1,1,0,5,1,1},</t>
  </si>
  <si>
    <t>{1,0,0,0,0,0,1,0,0,0,0,0,1,0,0,1},</t>
  </si>
  <si>
    <t>{1,5,1,0,1,0,1,0,1,5,1,0,1,0,5,1},</t>
  </si>
  <si>
    <t>{1,0,1,0,0,0,0,0,1,0,0,0,0,0,1,1},</t>
  </si>
  <si>
    <t>/* -----------------------------------------------------------------------</t>
  </si>
  <si>
    <t>maze_map[level][zone][row][col]</t>
  </si>
  <si>
    <t>zone 0 = Zone A (enter from left, key here, teleport at col14 row7)</t>
  </si>
  <si>
    <t>zone 1 = Zone B (arrive via teleport, door exit at col14 row7)</t>
  </si>
  <si>
    <t>----------------------------------------------------------------------- */</t>
  </si>
  <si>
    <t>static const u8 maze_map[8][2][9][16] = {</t>
  </si>
  <si>
    <t>{ /* Level 0 - Chamber 0 (tan) */</t>
  </si>
  <si>
    <t>{   /* Zone A */</t>
  </si>
  <si>
    <t>{</t>
  </si>
  <si>
    <t>{ /* Level 1 - Chamber 1 (blue) */</t>
  </si>
  <si>
    <t>{ /* Level 2 - Chamber 2 (blue) */</t>
  </si>
  <si>
    <t>{ /* Level 3 - Chamber 3 (purple) */</t>
  </si>
  <si>
    <t>{ /* Level 4 - Chamber 4 (purple) */</t>
  </si>
  <si>
    <t>{ /* Level 5 - Chamber 5 (blue) */</t>
  </si>
  <si>
    <t>{ /* Level 6 - Chamber 6(blue) */</t>
  </si>
  <si>
    <t>{ /* Level 7 - Chamber 7 (purple) */</t>
  </si>
  <si>
    <t>};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</si>
</sst>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2" numFmtId="0" xfId="0" applyFill="1" applyFont="1"/>
  </cellXfs>
  <cellStyles count="1">
    <cellStyle xfId="0" name="Normal" builtinId="0"/>
  </cellStyles>
  <dxfs count="7"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7F6000"/>
          <bgColor rgb="FF7F6000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.13"/>
    <col customWidth="1" min="3" max="17" width="0.38"/>
    <col customWidth="1" min="19" max="34" width="3.63"/>
  </cols>
  <sheetData>
    <row r="1">
      <c r="B1" s="1" t="s">
        <v>0</v>
      </c>
    </row>
    <row r="2">
      <c r="A2" s="2">
        <v>1.1</v>
      </c>
      <c r="B2" s="2" t="s">
        <v>1</v>
      </c>
      <c r="S2" s="2" t="s">
        <v>2</v>
      </c>
    </row>
    <row r="3">
      <c r="A3" s="2" t="s">
        <v>3</v>
      </c>
      <c r="B3" s="3">
        <f>IFERROR(__xludf.DUMMYFUNCTION("split(A3,""{,}"")"),1.0)</f>
        <v>1</v>
      </c>
      <c r="C3" s="3">
        <f>IFERROR(__xludf.DUMMYFUNCTION("""COMPUTED_VALUE"""),1.0)</f>
        <v>1</v>
      </c>
      <c r="D3" s="3">
        <f>IFERROR(__xludf.DUMMYFUNCTION("""COMPUTED_VALUE"""),1.0)</f>
        <v>1</v>
      </c>
      <c r="E3" s="3">
        <f>IFERROR(__xludf.DUMMYFUNCTION("""COMPUTED_VALUE"""),1.0)</f>
        <v>1</v>
      </c>
      <c r="F3" s="3">
        <f>IFERROR(__xludf.DUMMYFUNCTION("""COMPUTED_VALUE"""),1.0)</f>
        <v>1</v>
      </c>
      <c r="G3" s="3">
        <f>IFERROR(__xludf.DUMMYFUNCTION("""COMPUTED_VALUE"""),1.0)</f>
        <v>1</v>
      </c>
      <c r="H3" s="3">
        <f>IFERROR(__xludf.DUMMYFUNCTION("""COMPUTED_VALUE"""),1.0)</f>
        <v>1</v>
      </c>
      <c r="I3" s="3">
        <f>IFERROR(__xludf.DUMMYFUNCTION("""COMPUTED_VALUE"""),1.0)</f>
        <v>1</v>
      </c>
      <c r="J3" s="3">
        <f>IFERROR(__xludf.DUMMYFUNCTION("""COMPUTED_VALUE"""),1.0)</f>
        <v>1</v>
      </c>
      <c r="K3" s="3">
        <f>IFERROR(__xludf.DUMMYFUNCTION("""COMPUTED_VALUE"""),1.0)</f>
        <v>1</v>
      </c>
      <c r="L3" s="3">
        <f>IFERROR(__xludf.DUMMYFUNCTION("""COMPUTED_VALUE"""),1.0)</f>
        <v>1</v>
      </c>
      <c r="M3" s="3">
        <f>IFERROR(__xludf.DUMMYFUNCTION("""COMPUTED_VALUE"""),1.0)</f>
        <v>1</v>
      </c>
      <c r="N3" s="3">
        <f>IFERROR(__xludf.DUMMYFUNCTION("""COMPUTED_VALUE"""),1.0)</f>
        <v>1</v>
      </c>
      <c r="O3" s="3">
        <f>IFERROR(__xludf.DUMMYFUNCTION("""COMPUTED_VALUE"""),1.0)</f>
        <v>1</v>
      </c>
      <c r="P3" s="3">
        <f>IFERROR(__xludf.DUMMYFUNCTION("""COMPUTED_VALUE"""),1.0)</f>
        <v>1</v>
      </c>
      <c r="Q3" s="3">
        <f>IFERROR(__xludf.DUMMYFUNCTION("""COMPUTED_VALUE"""),1.0)</f>
        <v>1</v>
      </c>
      <c r="S3" s="3">
        <v>1.0</v>
      </c>
      <c r="T3" s="3">
        <v>1.0</v>
      </c>
      <c r="U3" s="3">
        <v>1.0</v>
      </c>
      <c r="V3" s="3">
        <v>1.0</v>
      </c>
      <c r="W3" s="3">
        <v>1.0</v>
      </c>
      <c r="X3" s="3">
        <v>1.0</v>
      </c>
      <c r="Y3" s="3">
        <v>1.0</v>
      </c>
      <c r="Z3" s="3">
        <v>1.0</v>
      </c>
      <c r="AA3" s="3">
        <v>1.0</v>
      </c>
      <c r="AB3" s="3">
        <v>1.0</v>
      </c>
      <c r="AC3" s="3">
        <v>1.0</v>
      </c>
      <c r="AD3" s="3">
        <v>1.0</v>
      </c>
      <c r="AE3" s="3">
        <v>1.0</v>
      </c>
      <c r="AF3" s="3">
        <v>1.0</v>
      </c>
      <c r="AG3" s="3">
        <v>1.0</v>
      </c>
      <c r="AH3" s="3">
        <v>1.0</v>
      </c>
    </row>
    <row r="4">
      <c r="A4" s="2" t="s">
        <v>4</v>
      </c>
      <c r="B4" s="3">
        <f>IFERROR(__xludf.DUMMYFUNCTION("split(A4,""{,}"")"),1.0)</f>
        <v>1</v>
      </c>
      <c r="C4" s="3">
        <f>IFERROR(__xludf.DUMMYFUNCTION("""COMPUTED_VALUE"""),0.0)</f>
        <v>0</v>
      </c>
      <c r="D4" s="3">
        <f>IFERROR(__xludf.DUMMYFUNCTION("""COMPUTED_VALUE"""),0.0)</f>
        <v>0</v>
      </c>
      <c r="E4" s="3">
        <f>IFERROR(__xludf.DUMMYFUNCTION("""COMPUTED_VALUE"""),0.0)</f>
        <v>0</v>
      </c>
      <c r="F4" s="3">
        <f>IFERROR(__xludf.DUMMYFUNCTION("""COMPUTED_VALUE"""),0.0)</f>
        <v>0</v>
      </c>
      <c r="G4" s="3">
        <f>IFERROR(__xludf.DUMMYFUNCTION("""COMPUTED_VALUE"""),0.0)</f>
        <v>0</v>
      </c>
      <c r="H4" s="3">
        <f>IFERROR(__xludf.DUMMYFUNCTION("""COMPUTED_VALUE"""),0.0)</f>
        <v>0</v>
      </c>
      <c r="I4" s="3">
        <f>IFERROR(__xludf.DUMMYFUNCTION("""COMPUTED_VALUE"""),0.0)</f>
        <v>0</v>
      </c>
      <c r="J4" s="3">
        <f>IFERROR(__xludf.DUMMYFUNCTION("""COMPUTED_VALUE"""),0.0)</f>
        <v>0</v>
      </c>
      <c r="K4" s="3">
        <f>IFERROR(__xludf.DUMMYFUNCTION("""COMPUTED_VALUE"""),4.0)</f>
        <v>4</v>
      </c>
      <c r="L4" s="3">
        <f>IFERROR(__xludf.DUMMYFUNCTION("""COMPUTED_VALUE"""),0.0)</f>
        <v>0</v>
      </c>
      <c r="M4" s="3">
        <f>IFERROR(__xludf.DUMMYFUNCTION("""COMPUTED_VALUE"""),0.0)</f>
        <v>0</v>
      </c>
      <c r="N4" s="3">
        <f>IFERROR(__xludf.DUMMYFUNCTION("""COMPUTED_VALUE"""),0.0)</f>
        <v>0</v>
      </c>
      <c r="O4" s="3">
        <f>IFERROR(__xludf.DUMMYFUNCTION("""COMPUTED_VALUE"""),0.0)</f>
        <v>0</v>
      </c>
      <c r="P4" s="3">
        <f>IFERROR(__xludf.DUMMYFUNCTION("""COMPUTED_VALUE"""),0.0)</f>
        <v>0</v>
      </c>
      <c r="Q4" s="3">
        <f>IFERROR(__xludf.DUMMYFUNCTION("""COMPUTED_VALUE"""),1.0)</f>
        <v>1</v>
      </c>
      <c r="S4" s="3">
        <v>1.0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3">
        <v>0.0</v>
      </c>
      <c r="AA4" s="3">
        <v>0.0</v>
      </c>
      <c r="AB4" s="3">
        <v>4.0</v>
      </c>
      <c r="AC4" s="3">
        <v>0.0</v>
      </c>
      <c r="AD4" s="3">
        <v>0.0</v>
      </c>
      <c r="AE4" s="3">
        <v>0.0</v>
      </c>
      <c r="AF4" s="3">
        <v>0.0</v>
      </c>
      <c r="AG4" s="3">
        <v>0.0</v>
      </c>
      <c r="AH4" s="3">
        <v>1.0</v>
      </c>
    </row>
    <row r="5">
      <c r="A5" s="2" t="s">
        <v>5</v>
      </c>
      <c r="B5" s="3">
        <f>IFERROR(__xludf.DUMMYFUNCTION("split(A5,""{,}"")"),1.0)</f>
        <v>1</v>
      </c>
      <c r="C5" s="3">
        <f>IFERROR(__xludf.DUMMYFUNCTION("""COMPUTED_VALUE"""),0.0)</f>
        <v>0</v>
      </c>
      <c r="D5" s="3">
        <f>IFERROR(__xludf.DUMMYFUNCTION("""COMPUTED_VALUE"""),1.0)</f>
        <v>1</v>
      </c>
      <c r="E5" s="3">
        <f>IFERROR(__xludf.DUMMYFUNCTION("""COMPUTED_VALUE"""),1.0)</f>
        <v>1</v>
      </c>
      <c r="F5" s="3">
        <f>IFERROR(__xludf.DUMMYFUNCTION("""COMPUTED_VALUE"""),1.0)</f>
        <v>1</v>
      </c>
      <c r="G5" s="3">
        <f>IFERROR(__xludf.DUMMYFUNCTION("""COMPUTED_VALUE"""),0.0)</f>
        <v>0</v>
      </c>
      <c r="H5" s="3">
        <f>IFERROR(__xludf.DUMMYFUNCTION("""COMPUTED_VALUE"""),1.0)</f>
        <v>1</v>
      </c>
      <c r="I5" s="3">
        <f>IFERROR(__xludf.DUMMYFUNCTION("""COMPUTED_VALUE"""),1.0)</f>
        <v>1</v>
      </c>
      <c r="J5" s="3">
        <f>IFERROR(__xludf.DUMMYFUNCTION("""COMPUTED_VALUE"""),0.0)</f>
        <v>0</v>
      </c>
      <c r="K5" s="3">
        <f>IFERROR(__xludf.DUMMYFUNCTION("""COMPUTED_VALUE"""),1.0)</f>
        <v>1</v>
      </c>
      <c r="L5" s="3">
        <f>IFERROR(__xludf.DUMMYFUNCTION("""COMPUTED_VALUE"""),1.0)</f>
        <v>1</v>
      </c>
      <c r="M5" s="3">
        <f>IFERROR(__xludf.DUMMYFUNCTION("""COMPUTED_VALUE"""),0.0)</f>
        <v>0</v>
      </c>
      <c r="N5" s="3">
        <f>IFERROR(__xludf.DUMMYFUNCTION("""COMPUTED_VALUE"""),1.0)</f>
        <v>1</v>
      </c>
      <c r="O5" s="3">
        <f>IFERROR(__xludf.DUMMYFUNCTION("""COMPUTED_VALUE"""),1.0)</f>
        <v>1</v>
      </c>
      <c r="P5" s="3">
        <f>IFERROR(__xludf.DUMMYFUNCTION("""COMPUTED_VALUE"""),0.0)</f>
        <v>0</v>
      </c>
      <c r="Q5" s="3">
        <f>IFERROR(__xludf.DUMMYFUNCTION("""COMPUTED_VALUE"""),1.0)</f>
        <v>1</v>
      </c>
      <c r="S5" s="3">
        <v>1.0</v>
      </c>
      <c r="T5" s="3">
        <v>0.0</v>
      </c>
      <c r="U5" s="3">
        <v>1.0</v>
      </c>
      <c r="V5" s="3">
        <v>1.0</v>
      </c>
      <c r="W5" s="3">
        <v>1.0</v>
      </c>
      <c r="X5" s="3">
        <v>0.0</v>
      </c>
      <c r="Y5" s="3">
        <v>1.0</v>
      </c>
      <c r="Z5" s="3">
        <v>1.0</v>
      </c>
      <c r="AA5" s="3">
        <v>0.0</v>
      </c>
      <c r="AB5" s="3">
        <v>1.0</v>
      </c>
      <c r="AC5" s="3">
        <v>1.0</v>
      </c>
      <c r="AD5" s="3">
        <v>0.0</v>
      </c>
      <c r="AE5" s="3">
        <v>1.0</v>
      </c>
      <c r="AF5" s="3">
        <v>1.0</v>
      </c>
      <c r="AG5" s="3">
        <v>0.0</v>
      </c>
      <c r="AH5" s="3">
        <v>1.0</v>
      </c>
    </row>
    <row r="6">
      <c r="A6" s="2" t="s">
        <v>6</v>
      </c>
      <c r="B6" s="3">
        <f>IFERROR(__xludf.DUMMYFUNCTION("split(A6,""{,}"")"),1.0)</f>
        <v>1</v>
      </c>
      <c r="C6" s="3">
        <f>IFERROR(__xludf.DUMMYFUNCTION("""COMPUTED_VALUE"""),0.0)</f>
        <v>0</v>
      </c>
      <c r="D6" s="3">
        <f>IFERROR(__xludf.DUMMYFUNCTION("""COMPUTED_VALUE"""),0.0)</f>
        <v>0</v>
      </c>
      <c r="E6" s="3">
        <f>IFERROR(__xludf.DUMMYFUNCTION("""COMPUTED_VALUE"""),0.0)</f>
        <v>0</v>
      </c>
      <c r="F6" s="3">
        <f>IFERROR(__xludf.DUMMYFUNCTION("""COMPUTED_VALUE"""),0.0)</f>
        <v>0</v>
      </c>
      <c r="G6" s="3">
        <f>IFERROR(__xludf.DUMMYFUNCTION("""COMPUTED_VALUE"""),0.0)</f>
        <v>0</v>
      </c>
      <c r="H6" s="3">
        <f>IFERROR(__xludf.DUMMYFUNCTION("""COMPUTED_VALUE"""),0.0)</f>
        <v>0</v>
      </c>
      <c r="I6" s="3">
        <f>IFERROR(__xludf.DUMMYFUNCTION("""COMPUTED_VALUE"""),1.0)</f>
        <v>1</v>
      </c>
      <c r="J6" s="3">
        <f>IFERROR(__xludf.DUMMYFUNCTION("""COMPUTED_VALUE"""),1.0)</f>
        <v>1</v>
      </c>
      <c r="K6" s="3">
        <f>IFERROR(__xludf.DUMMYFUNCTION("""COMPUTED_VALUE"""),1.0)</f>
        <v>1</v>
      </c>
      <c r="L6" s="3">
        <f>IFERROR(__xludf.DUMMYFUNCTION("""COMPUTED_VALUE"""),1.0)</f>
        <v>1</v>
      </c>
      <c r="M6" s="3">
        <f>IFERROR(__xludf.DUMMYFUNCTION("""COMPUTED_VALUE"""),0.0)</f>
        <v>0</v>
      </c>
      <c r="N6" s="3">
        <f>IFERROR(__xludf.DUMMYFUNCTION("""COMPUTED_VALUE"""),0.0)</f>
        <v>0</v>
      </c>
      <c r="O6" s="3">
        <f>IFERROR(__xludf.DUMMYFUNCTION("""COMPUTED_VALUE"""),0.0)</f>
        <v>0</v>
      </c>
      <c r="P6" s="3">
        <f>IFERROR(__xludf.DUMMYFUNCTION("""COMPUTED_VALUE"""),2.0)</f>
        <v>2</v>
      </c>
      <c r="Q6" s="3">
        <f>IFERROR(__xludf.DUMMYFUNCTION("""COMPUTED_VALUE"""),1.0)</f>
        <v>1</v>
      </c>
      <c r="S6" s="3">
        <v>1.0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3">
        <v>1.0</v>
      </c>
      <c r="AA6" s="3">
        <v>1.0</v>
      </c>
      <c r="AB6" s="2">
        <v>4.0</v>
      </c>
      <c r="AC6" s="3">
        <v>1.0</v>
      </c>
      <c r="AD6" s="3">
        <v>0.0</v>
      </c>
      <c r="AE6" s="3">
        <v>0.0</v>
      </c>
      <c r="AF6" s="3">
        <v>0.0</v>
      </c>
      <c r="AG6" s="3">
        <v>2.0</v>
      </c>
      <c r="AH6" s="3">
        <v>1.0</v>
      </c>
    </row>
    <row r="7">
      <c r="A7" s="2" t="s">
        <v>7</v>
      </c>
      <c r="B7" s="3">
        <f>IFERROR(__xludf.DUMMYFUNCTION("split(A7,""{,}"")"),1.0)</f>
        <v>1</v>
      </c>
      <c r="C7" s="3">
        <f>IFERROR(__xludf.DUMMYFUNCTION("""COMPUTED_VALUE"""),1.0)</f>
        <v>1</v>
      </c>
      <c r="D7" s="3">
        <f>IFERROR(__xludf.DUMMYFUNCTION("""COMPUTED_VALUE"""),1.0)</f>
        <v>1</v>
      </c>
      <c r="E7" s="3">
        <f>IFERROR(__xludf.DUMMYFUNCTION("""COMPUTED_VALUE"""),1.0)</f>
        <v>1</v>
      </c>
      <c r="F7" s="3">
        <f>IFERROR(__xludf.DUMMYFUNCTION("""COMPUTED_VALUE"""),0.0)</f>
        <v>0</v>
      </c>
      <c r="G7" s="3">
        <f>IFERROR(__xludf.DUMMYFUNCTION("""COMPUTED_VALUE"""),1.0)</f>
        <v>1</v>
      </c>
      <c r="H7" s="3">
        <f>IFERROR(__xludf.DUMMYFUNCTION("""COMPUTED_VALUE"""),1.0)</f>
        <v>1</v>
      </c>
      <c r="I7" s="3">
        <f>IFERROR(__xludf.DUMMYFUNCTION("""COMPUTED_VALUE"""),4.0)</f>
        <v>4</v>
      </c>
      <c r="J7" s="3">
        <f>IFERROR(__xludf.DUMMYFUNCTION("""COMPUTED_VALUE"""),1.0)</f>
        <v>1</v>
      </c>
      <c r="K7" s="3">
        <f>IFERROR(__xludf.DUMMYFUNCTION("""COMPUTED_VALUE"""),1.0)</f>
        <v>1</v>
      </c>
      <c r="L7" s="3">
        <f>IFERROR(__xludf.DUMMYFUNCTION("""COMPUTED_VALUE"""),1.0)</f>
        <v>1</v>
      </c>
      <c r="M7" s="3">
        <f>IFERROR(__xludf.DUMMYFUNCTION("""COMPUTED_VALUE"""),0.0)</f>
        <v>0</v>
      </c>
      <c r="N7" s="3">
        <f>IFERROR(__xludf.DUMMYFUNCTION("""COMPUTED_VALUE"""),1.0)</f>
        <v>1</v>
      </c>
      <c r="O7" s="3">
        <f>IFERROR(__xludf.DUMMYFUNCTION("""COMPUTED_VALUE"""),0.0)</f>
        <v>0</v>
      </c>
      <c r="P7" s="3">
        <f>IFERROR(__xludf.DUMMYFUNCTION("""COMPUTED_VALUE"""),1.0)</f>
        <v>1</v>
      </c>
      <c r="Q7" s="3">
        <f>IFERROR(__xludf.DUMMYFUNCTION("""COMPUTED_VALUE"""),1.0)</f>
        <v>1</v>
      </c>
      <c r="S7" s="3">
        <v>1.0</v>
      </c>
      <c r="T7" s="3">
        <v>1.0</v>
      </c>
      <c r="U7" s="3">
        <v>1.0</v>
      </c>
      <c r="V7" s="3">
        <v>1.0</v>
      </c>
      <c r="W7" s="3">
        <v>0.0</v>
      </c>
      <c r="X7" s="3">
        <v>1.0</v>
      </c>
      <c r="Y7" s="3">
        <v>1.0</v>
      </c>
      <c r="Z7" s="3">
        <v>4.0</v>
      </c>
      <c r="AA7" s="3">
        <v>1.0</v>
      </c>
      <c r="AB7" s="3">
        <v>1.0</v>
      </c>
      <c r="AC7" s="3">
        <v>1.0</v>
      </c>
      <c r="AD7" s="3">
        <v>0.0</v>
      </c>
      <c r="AE7" s="3">
        <v>1.0</v>
      </c>
      <c r="AF7" s="3">
        <v>0.0</v>
      </c>
      <c r="AG7" s="3">
        <v>1.0</v>
      </c>
      <c r="AH7" s="3">
        <v>1.0</v>
      </c>
    </row>
    <row r="8">
      <c r="A8" s="2" t="s">
        <v>8</v>
      </c>
      <c r="B8" s="3">
        <f>IFERROR(__xludf.DUMMYFUNCTION("split(A8,""{,}"")"),1.0)</f>
        <v>1</v>
      </c>
      <c r="C8" s="3">
        <f>IFERROR(__xludf.DUMMYFUNCTION("""COMPUTED_VALUE"""),0.0)</f>
        <v>0</v>
      </c>
      <c r="D8" s="3">
        <f>IFERROR(__xludf.DUMMYFUNCTION("""COMPUTED_VALUE"""),0.0)</f>
        <v>0</v>
      </c>
      <c r="E8" s="3">
        <f>IFERROR(__xludf.DUMMYFUNCTION("""COMPUTED_VALUE"""),0.0)</f>
        <v>0</v>
      </c>
      <c r="F8" s="3">
        <f>IFERROR(__xludf.DUMMYFUNCTION("""COMPUTED_VALUE"""),0.0)</f>
        <v>0</v>
      </c>
      <c r="G8" s="3">
        <f>IFERROR(__xludf.DUMMYFUNCTION("""COMPUTED_VALUE"""),0.0)</f>
        <v>0</v>
      </c>
      <c r="H8" s="3">
        <f>IFERROR(__xludf.DUMMYFUNCTION("""COMPUTED_VALUE"""),5.0)</f>
        <v>5</v>
      </c>
      <c r="I8" s="3">
        <f>IFERROR(__xludf.DUMMYFUNCTION("""COMPUTED_VALUE"""),1.0)</f>
        <v>1</v>
      </c>
      <c r="J8" s="3">
        <f>IFERROR(__xludf.DUMMYFUNCTION("""COMPUTED_VALUE"""),1.0)</f>
        <v>1</v>
      </c>
      <c r="K8" s="3">
        <f>IFERROR(__xludf.DUMMYFUNCTION("""COMPUTED_VALUE"""),1.0)</f>
        <v>1</v>
      </c>
      <c r="L8" s="3">
        <f>IFERROR(__xludf.DUMMYFUNCTION("""COMPUTED_VALUE"""),0.0)</f>
        <v>0</v>
      </c>
      <c r="M8" s="3">
        <f>IFERROR(__xludf.DUMMYFUNCTION("""COMPUTED_VALUE"""),0.0)</f>
        <v>0</v>
      </c>
      <c r="N8" s="3">
        <f>IFERROR(__xludf.DUMMYFUNCTION("""COMPUTED_VALUE"""),0.0)</f>
        <v>0</v>
      </c>
      <c r="O8" s="3">
        <f>IFERROR(__xludf.DUMMYFUNCTION("""COMPUTED_VALUE"""),1.0)</f>
        <v>1</v>
      </c>
      <c r="P8" s="3">
        <f>IFERROR(__xludf.DUMMYFUNCTION("""COMPUTED_VALUE"""),1.0)</f>
        <v>1</v>
      </c>
      <c r="Q8" s="3">
        <f>IFERROR(__xludf.DUMMYFUNCTION("""COMPUTED_VALUE"""),1.0)</f>
        <v>1</v>
      </c>
      <c r="S8" s="3">
        <v>1.0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5.0</v>
      </c>
      <c r="Z8" s="3">
        <v>1.0</v>
      </c>
      <c r="AA8" s="3">
        <v>1.0</v>
      </c>
      <c r="AB8" s="2">
        <v>0.0</v>
      </c>
      <c r="AC8" s="3">
        <v>0.0</v>
      </c>
      <c r="AD8" s="3">
        <v>0.0</v>
      </c>
      <c r="AE8" s="3">
        <v>0.0</v>
      </c>
      <c r="AF8" s="3">
        <v>1.0</v>
      </c>
      <c r="AG8" s="3">
        <v>1.0</v>
      </c>
      <c r="AH8" s="3">
        <v>1.0</v>
      </c>
    </row>
    <row r="9">
      <c r="A9" s="2" t="s">
        <v>9</v>
      </c>
      <c r="B9" s="3">
        <f>IFERROR(__xludf.DUMMYFUNCTION("split(A9,""{,}"")"),1.0)</f>
        <v>1</v>
      </c>
      <c r="C9" s="3">
        <f>IFERROR(__xludf.DUMMYFUNCTION("""COMPUTED_VALUE"""),0.0)</f>
        <v>0</v>
      </c>
      <c r="D9" s="3">
        <f>IFERROR(__xludf.DUMMYFUNCTION("""COMPUTED_VALUE"""),1.0)</f>
        <v>1</v>
      </c>
      <c r="E9" s="3">
        <f>IFERROR(__xludf.DUMMYFUNCTION("""COMPUTED_VALUE"""),1.0)</f>
        <v>1</v>
      </c>
      <c r="F9" s="3">
        <f>IFERROR(__xludf.DUMMYFUNCTION("""COMPUTED_VALUE"""),0.0)</f>
        <v>0</v>
      </c>
      <c r="G9" s="3">
        <f>IFERROR(__xludf.DUMMYFUNCTION("""COMPUTED_VALUE"""),1.0)</f>
        <v>1</v>
      </c>
      <c r="H9" s="3">
        <f>IFERROR(__xludf.DUMMYFUNCTION("""COMPUTED_VALUE"""),1.0)</f>
        <v>1</v>
      </c>
      <c r="I9" s="3">
        <f>IFERROR(__xludf.DUMMYFUNCTION("""COMPUTED_VALUE"""),1.0)</f>
        <v>1</v>
      </c>
      <c r="J9" s="3">
        <f>IFERROR(__xludf.DUMMYFUNCTION("""COMPUTED_VALUE"""),5.0)</f>
        <v>5</v>
      </c>
      <c r="K9" s="3">
        <f>IFERROR(__xludf.DUMMYFUNCTION("""COMPUTED_VALUE"""),1.0)</f>
        <v>1</v>
      </c>
      <c r="L9" s="3">
        <f>IFERROR(__xludf.DUMMYFUNCTION("""COMPUTED_VALUE"""),1.0)</f>
        <v>1</v>
      </c>
      <c r="M9" s="3">
        <f>IFERROR(__xludf.DUMMYFUNCTION("""COMPUTED_VALUE"""),1.0)</f>
        <v>1</v>
      </c>
      <c r="N9" s="3">
        <f>IFERROR(__xludf.DUMMYFUNCTION("""COMPUTED_VALUE"""),0.0)</f>
        <v>0</v>
      </c>
      <c r="O9" s="3">
        <f>IFERROR(__xludf.DUMMYFUNCTION("""COMPUTED_VALUE"""),1.0)</f>
        <v>1</v>
      </c>
      <c r="P9" s="3">
        <f>IFERROR(__xludf.DUMMYFUNCTION("""COMPUTED_VALUE"""),6.0)</f>
        <v>6</v>
      </c>
      <c r="Q9" s="3">
        <f>IFERROR(__xludf.DUMMYFUNCTION("""COMPUTED_VALUE"""),1.0)</f>
        <v>1</v>
      </c>
      <c r="S9" s="3">
        <v>1.0</v>
      </c>
      <c r="T9" s="3">
        <v>0.0</v>
      </c>
      <c r="U9" s="3">
        <v>1.0</v>
      </c>
      <c r="V9" s="3">
        <v>1.0</v>
      </c>
      <c r="W9" s="3">
        <v>0.0</v>
      </c>
      <c r="X9" s="3">
        <v>1.0</v>
      </c>
      <c r="Y9" s="3">
        <v>1.0</v>
      </c>
      <c r="Z9" s="3">
        <v>1.0</v>
      </c>
      <c r="AA9" s="3">
        <v>5.0</v>
      </c>
      <c r="AB9" s="3">
        <v>1.0</v>
      </c>
      <c r="AC9" s="3">
        <v>1.0</v>
      </c>
      <c r="AD9" s="3">
        <v>1.0</v>
      </c>
      <c r="AE9" s="3">
        <v>0.0</v>
      </c>
      <c r="AF9" s="3">
        <v>1.0</v>
      </c>
      <c r="AG9" s="3">
        <v>6.0</v>
      </c>
      <c r="AH9" s="3">
        <v>1.0</v>
      </c>
    </row>
    <row r="10">
      <c r="A10" s="2" t="s">
        <v>10</v>
      </c>
      <c r="B10" s="3">
        <f>IFERROR(__xludf.DUMMYFUNCTION("split(A10,""{,}"")"),1.0)</f>
        <v>1</v>
      </c>
      <c r="C10" s="3">
        <f>IFERROR(__xludf.DUMMYFUNCTION("""COMPUTED_VALUE"""),0.0)</f>
        <v>0</v>
      </c>
      <c r="D10" s="3">
        <f>IFERROR(__xludf.DUMMYFUNCTION("""COMPUTED_VALUE"""),0.0)</f>
        <v>0</v>
      </c>
      <c r="E10" s="3">
        <f>IFERROR(__xludf.DUMMYFUNCTION("""COMPUTED_VALUE"""),0.0)</f>
        <v>0</v>
      </c>
      <c r="F10" s="3">
        <f>IFERROR(__xludf.DUMMYFUNCTION("""COMPUTED_VALUE"""),0.0)</f>
        <v>0</v>
      </c>
      <c r="G10" s="3">
        <f>IFERROR(__xludf.DUMMYFUNCTION("""COMPUTED_VALUE"""),0.0)</f>
        <v>0</v>
      </c>
      <c r="H10" s="3">
        <f>IFERROR(__xludf.DUMMYFUNCTION("""COMPUTED_VALUE"""),1.0)</f>
        <v>1</v>
      </c>
      <c r="I10" s="3">
        <f>IFERROR(__xludf.DUMMYFUNCTION("""COMPUTED_VALUE"""),0.0)</f>
        <v>0</v>
      </c>
      <c r="J10" s="3">
        <f>IFERROR(__xludf.DUMMYFUNCTION("""COMPUTED_VALUE"""),0.0)</f>
        <v>0</v>
      </c>
      <c r="K10" s="3">
        <f>IFERROR(__xludf.DUMMYFUNCTION("""COMPUTED_VALUE"""),0.0)</f>
        <v>0</v>
      </c>
      <c r="L10" s="3">
        <f>IFERROR(__xludf.DUMMYFUNCTION("""COMPUTED_VALUE"""),0.0)</f>
        <v>0</v>
      </c>
      <c r="M10" s="3">
        <f>IFERROR(__xludf.DUMMYFUNCTION("""COMPUTED_VALUE"""),0.0)</f>
        <v>0</v>
      </c>
      <c r="N10" s="3">
        <f>IFERROR(__xludf.DUMMYFUNCTION("""COMPUTED_VALUE"""),0.0)</f>
        <v>0</v>
      </c>
      <c r="O10" s="3">
        <f>IFERROR(__xludf.DUMMYFUNCTION("""COMPUTED_VALUE"""),0.0)</f>
        <v>0</v>
      </c>
      <c r="P10" s="3">
        <f>IFERROR(__xludf.DUMMYFUNCTION("""COMPUTED_VALUE"""),0.0)</f>
        <v>0</v>
      </c>
      <c r="Q10" s="3">
        <f>IFERROR(__xludf.DUMMYFUNCTION("""COMPUTED_VALUE"""),1.0)</f>
        <v>1</v>
      </c>
      <c r="S10" s="3">
        <v>1.0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1.0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  <c r="AH10" s="3">
        <v>1.0</v>
      </c>
    </row>
    <row r="11">
      <c r="A11" s="2" t="s">
        <v>3</v>
      </c>
      <c r="B11" s="3">
        <f>IFERROR(__xludf.DUMMYFUNCTION("split(A11,""{,}"")"),1.0)</f>
        <v>1</v>
      </c>
      <c r="C11" s="3">
        <f>IFERROR(__xludf.DUMMYFUNCTION("""COMPUTED_VALUE"""),1.0)</f>
        <v>1</v>
      </c>
      <c r="D11" s="3">
        <f>IFERROR(__xludf.DUMMYFUNCTION("""COMPUTED_VALUE"""),1.0)</f>
        <v>1</v>
      </c>
      <c r="E11" s="3">
        <f>IFERROR(__xludf.DUMMYFUNCTION("""COMPUTED_VALUE"""),1.0)</f>
        <v>1</v>
      </c>
      <c r="F11" s="3">
        <f>IFERROR(__xludf.DUMMYFUNCTION("""COMPUTED_VALUE"""),1.0)</f>
        <v>1</v>
      </c>
      <c r="G11" s="3">
        <f>IFERROR(__xludf.DUMMYFUNCTION("""COMPUTED_VALUE"""),1.0)</f>
        <v>1</v>
      </c>
      <c r="H11" s="3">
        <f>IFERROR(__xludf.DUMMYFUNCTION("""COMPUTED_VALUE"""),1.0)</f>
        <v>1</v>
      </c>
      <c r="I11" s="3">
        <f>IFERROR(__xludf.DUMMYFUNCTION("""COMPUTED_VALUE"""),1.0)</f>
        <v>1</v>
      </c>
      <c r="J11" s="3">
        <f>IFERROR(__xludf.DUMMYFUNCTION("""COMPUTED_VALUE"""),1.0)</f>
        <v>1</v>
      </c>
      <c r="K11" s="3">
        <f>IFERROR(__xludf.DUMMYFUNCTION("""COMPUTED_VALUE"""),1.0)</f>
        <v>1</v>
      </c>
      <c r="L11" s="3">
        <f>IFERROR(__xludf.DUMMYFUNCTION("""COMPUTED_VALUE"""),1.0)</f>
        <v>1</v>
      </c>
      <c r="M11" s="3">
        <f>IFERROR(__xludf.DUMMYFUNCTION("""COMPUTED_VALUE"""),1.0)</f>
        <v>1</v>
      </c>
      <c r="N11" s="3">
        <f>IFERROR(__xludf.DUMMYFUNCTION("""COMPUTED_VALUE"""),1.0)</f>
        <v>1</v>
      </c>
      <c r="O11" s="3">
        <f>IFERROR(__xludf.DUMMYFUNCTION("""COMPUTED_VALUE"""),1.0)</f>
        <v>1</v>
      </c>
      <c r="P11" s="3">
        <f>IFERROR(__xludf.DUMMYFUNCTION("""COMPUTED_VALUE"""),1.0)</f>
        <v>1</v>
      </c>
      <c r="Q11" s="3">
        <f>IFERROR(__xludf.DUMMYFUNCTION("""COMPUTED_VALUE"""),1.0)</f>
        <v>1</v>
      </c>
      <c r="S11" s="3">
        <v>1.0</v>
      </c>
      <c r="T11" s="3">
        <v>1.0</v>
      </c>
      <c r="U11" s="3">
        <v>1.0</v>
      </c>
      <c r="V11" s="3">
        <v>1.0</v>
      </c>
      <c r="W11" s="3">
        <v>1.0</v>
      </c>
      <c r="X11" s="3">
        <v>1.0</v>
      </c>
      <c r="Y11" s="3">
        <v>1.0</v>
      </c>
      <c r="Z11" s="3">
        <v>1.0</v>
      </c>
      <c r="AA11" s="3">
        <v>1.0</v>
      </c>
      <c r="AB11" s="3">
        <v>1.0</v>
      </c>
      <c r="AC11" s="3">
        <v>1.0</v>
      </c>
      <c r="AD11" s="3">
        <v>1.0</v>
      </c>
      <c r="AE11" s="3">
        <v>1.0</v>
      </c>
      <c r="AF11" s="3">
        <v>1.0</v>
      </c>
      <c r="AG11" s="3">
        <v>1.0</v>
      </c>
      <c r="AH11" s="3">
        <v>1.0</v>
      </c>
    </row>
    <row r="13">
      <c r="A13" s="2">
        <v>1.2</v>
      </c>
    </row>
    <row r="14">
      <c r="A14" s="2" t="s">
        <v>3</v>
      </c>
      <c r="B14" s="3">
        <f>IFERROR(__xludf.DUMMYFUNCTION("split(A14,""{,}"")"),1.0)</f>
        <v>1</v>
      </c>
      <c r="C14" s="3">
        <f>IFERROR(__xludf.DUMMYFUNCTION("""COMPUTED_VALUE"""),1.0)</f>
        <v>1</v>
      </c>
      <c r="D14" s="3">
        <f>IFERROR(__xludf.DUMMYFUNCTION("""COMPUTED_VALUE"""),1.0)</f>
        <v>1</v>
      </c>
      <c r="E14" s="3">
        <f>IFERROR(__xludf.DUMMYFUNCTION("""COMPUTED_VALUE"""),1.0)</f>
        <v>1</v>
      </c>
      <c r="F14" s="3">
        <f>IFERROR(__xludf.DUMMYFUNCTION("""COMPUTED_VALUE"""),1.0)</f>
        <v>1</v>
      </c>
      <c r="G14" s="3">
        <f>IFERROR(__xludf.DUMMYFUNCTION("""COMPUTED_VALUE"""),1.0)</f>
        <v>1</v>
      </c>
      <c r="H14" s="3">
        <f>IFERROR(__xludf.DUMMYFUNCTION("""COMPUTED_VALUE"""),1.0)</f>
        <v>1</v>
      </c>
      <c r="I14" s="3">
        <f>IFERROR(__xludf.DUMMYFUNCTION("""COMPUTED_VALUE"""),1.0)</f>
        <v>1</v>
      </c>
      <c r="J14" s="3">
        <f>IFERROR(__xludf.DUMMYFUNCTION("""COMPUTED_VALUE"""),1.0)</f>
        <v>1</v>
      </c>
      <c r="K14" s="3">
        <f>IFERROR(__xludf.DUMMYFUNCTION("""COMPUTED_VALUE"""),1.0)</f>
        <v>1</v>
      </c>
      <c r="L14" s="3">
        <f>IFERROR(__xludf.DUMMYFUNCTION("""COMPUTED_VALUE"""),1.0)</f>
        <v>1</v>
      </c>
      <c r="M14" s="3">
        <f>IFERROR(__xludf.DUMMYFUNCTION("""COMPUTED_VALUE"""),1.0)</f>
        <v>1</v>
      </c>
      <c r="N14" s="3">
        <f>IFERROR(__xludf.DUMMYFUNCTION("""COMPUTED_VALUE"""),1.0)</f>
        <v>1</v>
      </c>
      <c r="O14" s="3">
        <f>IFERROR(__xludf.DUMMYFUNCTION("""COMPUTED_VALUE"""),1.0)</f>
        <v>1</v>
      </c>
      <c r="P14" s="3">
        <f>IFERROR(__xludf.DUMMYFUNCTION("""COMPUTED_VALUE"""),1.0)</f>
        <v>1</v>
      </c>
      <c r="Q14" s="3">
        <f>IFERROR(__xludf.DUMMYFUNCTION("""COMPUTED_VALUE"""),1.0)</f>
        <v>1</v>
      </c>
      <c r="S14" s="3">
        <v>1.0</v>
      </c>
      <c r="T14" s="3">
        <v>1.0</v>
      </c>
      <c r="U14" s="3">
        <v>1.0</v>
      </c>
      <c r="V14" s="3">
        <v>1.0</v>
      </c>
      <c r="W14" s="3">
        <v>1.0</v>
      </c>
      <c r="X14" s="3">
        <v>1.0</v>
      </c>
      <c r="Y14" s="3">
        <v>1.0</v>
      </c>
      <c r="Z14" s="3">
        <v>1.0</v>
      </c>
      <c r="AA14" s="3">
        <v>1.0</v>
      </c>
      <c r="AB14" s="3">
        <v>1.0</v>
      </c>
      <c r="AC14" s="3">
        <v>1.0</v>
      </c>
      <c r="AD14" s="3">
        <v>1.0</v>
      </c>
      <c r="AE14" s="3">
        <v>1.0</v>
      </c>
      <c r="AF14" s="3">
        <v>1.0</v>
      </c>
      <c r="AG14" s="3">
        <v>1.0</v>
      </c>
      <c r="AH14" s="3">
        <v>1.0</v>
      </c>
    </row>
    <row r="15">
      <c r="A15" s="2" t="s">
        <v>11</v>
      </c>
      <c r="B15" s="3">
        <f>IFERROR(__xludf.DUMMYFUNCTION("split(A15,""{,}"")"),1.0)</f>
        <v>1</v>
      </c>
      <c r="C15" s="3">
        <f>IFERROR(__xludf.DUMMYFUNCTION("""COMPUTED_VALUE"""),0.0)</f>
        <v>0</v>
      </c>
      <c r="D15" s="3">
        <f>IFERROR(__xludf.DUMMYFUNCTION("""COMPUTED_VALUE"""),0.0)</f>
        <v>0</v>
      </c>
      <c r="E15" s="3">
        <f>IFERROR(__xludf.DUMMYFUNCTION("""COMPUTED_VALUE"""),1.0)</f>
        <v>1</v>
      </c>
      <c r="F15" s="3">
        <f>IFERROR(__xludf.DUMMYFUNCTION("""COMPUTED_VALUE"""),1.0)</f>
        <v>1</v>
      </c>
      <c r="G15" s="3">
        <f>IFERROR(__xludf.DUMMYFUNCTION("""COMPUTED_VALUE"""),0.0)</f>
        <v>0</v>
      </c>
      <c r="H15" s="3">
        <f>IFERROR(__xludf.DUMMYFUNCTION("""COMPUTED_VALUE"""),0.0)</f>
        <v>0</v>
      </c>
      <c r="I15" s="3">
        <f>IFERROR(__xludf.DUMMYFUNCTION("""COMPUTED_VALUE"""),0.0)</f>
        <v>0</v>
      </c>
      <c r="J15" s="3">
        <f>IFERROR(__xludf.DUMMYFUNCTION("""COMPUTED_VALUE"""),0.0)</f>
        <v>0</v>
      </c>
      <c r="K15" s="3">
        <f>IFERROR(__xludf.DUMMYFUNCTION("""COMPUTED_VALUE"""),0.0)</f>
        <v>0</v>
      </c>
      <c r="L15" s="3">
        <f>IFERROR(__xludf.DUMMYFUNCTION("""COMPUTED_VALUE"""),0.0)</f>
        <v>0</v>
      </c>
      <c r="M15" s="3">
        <f>IFERROR(__xludf.DUMMYFUNCTION("""COMPUTED_VALUE"""),0.0)</f>
        <v>0</v>
      </c>
      <c r="N15" s="3">
        <f>IFERROR(__xludf.DUMMYFUNCTION("""COMPUTED_VALUE"""),0.0)</f>
        <v>0</v>
      </c>
      <c r="O15" s="3">
        <f>IFERROR(__xludf.DUMMYFUNCTION("""COMPUTED_VALUE"""),0.0)</f>
        <v>0</v>
      </c>
      <c r="P15" s="3">
        <f>IFERROR(__xludf.DUMMYFUNCTION("""COMPUTED_VALUE"""),0.0)</f>
        <v>0</v>
      </c>
      <c r="Q15" s="3">
        <f>IFERROR(__xludf.DUMMYFUNCTION("""COMPUTED_VALUE"""),1.0)</f>
        <v>1</v>
      </c>
      <c r="S15" s="3">
        <v>1.0</v>
      </c>
      <c r="T15" s="2">
        <v>1.0</v>
      </c>
      <c r="U15" s="2">
        <v>4.0</v>
      </c>
      <c r="V15" s="3">
        <v>1.0</v>
      </c>
      <c r="W15" s="3">
        <v>1.0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2">
        <v>3.0</v>
      </c>
      <c r="AH15" s="3">
        <v>1.0</v>
      </c>
    </row>
    <row r="16">
      <c r="A16" s="2" t="s">
        <v>12</v>
      </c>
      <c r="B16" s="3">
        <f>IFERROR(__xludf.DUMMYFUNCTION("split(A16,""{,}"")"),1.0)</f>
        <v>1</v>
      </c>
      <c r="C16" s="3">
        <f>IFERROR(__xludf.DUMMYFUNCTION("""COMPUTED_VALUE"""),1.0)</f>
        <v>1</v>
      </c>
      <c r="D16" s="3">
        <f>IFERROR(__xludf.DUMMYFUNCTION("""COMPUTED_VALUE"""),1.0)</f>
        <v>1</v>
      </c>
      <c r="E16" s="3">
        <f>IFERROR(__xludf.DUMMYFUNCTION("""COMPUTED_VALUE"""),0.0)</f>
        <v>0</v>
      </c>
      <c r="F16" s="3">
        <f>IFERROR(__xludf.DUMMYFUNCTION("""COMPUTED_VALUE"""),1.0)</f>
        <v>1</v>
      </c>
      <c r="G16" s="3">
        <f>IFERROR(__xludf.DUMMYFUNCTION("""COMPUTED_VALUE"""),0.0)</f>
        <v>0</v>
      </c>
      <c r="H16" s="3">
        <f>IFERROR(__xludf.DUMMYFUNCTION("""COMPUTED_VALUE"""),1.0)</f>
        <v>1</v>
      </c>
      <c r="I16" s="3">
        <f>IFERROR(__xludf.DUMMYFUNCTION("""COMPUTED_VALUE"""),1.0)</f>
        <v>1</v>
      </c>
      <c r="J16" s="3">
        <f>IFERROR(__xludf.DUMMYFUNCTION("""COMPUTED_VALUE"""),0.0)</f>
        <v>0</v>
      </c>
      <c r="K16" s="3">
        <f>IFERROR(__xludf.DUMMYFUNCTION("""COMPUTED_VALUE"""),1.0)</f>
        <v>1</v>
      </c>
      <c r="L16" s="3">
        <f>IFERROR(__xludf.DUMMYFUNCTION("""COMPUTED_VALUE"""),1.0)</f>
        <v>1</v>
      </c>
      <c r="M16" s="3">
        <f>IFERROR(__xludf.DUMMYFUNCTION("""COMPUTED_VALUE"""),1.0)</f>
        <v>1</v>
      </c>
      <c r="N16" s="3">
        <f>IFERROR(__xludf.DUMMYFUNCTION("""COMPUTED_VALUE"""),0.0)</f>
        <v>0</v>
      </c>
      <c r="O16" s="3">
        <f>IFERROR(__xludf.DUMMYFUNCTION("""COMPUTED_VALUE"""),1.0)</f>
        <v>1</v>
      </c>
      <c r="P16" s="3">
        <f>IFERROR(__xludf.DUMMYFUNCTION("""COMPUTED_VALUE"""),1.0)</f>
        <v>1</v>
      </c>
      <c r="Q16" s="3">
        <f>IFERROR(__xludf.DUMMYFUNCTION("""COMPUTED_VALUE"""),1.0)</f>
        <v>1</v>
      </c>
      <c r="S16" s="3">
        <v>1.0</v>
      </c>
      <c r="T16" s="3">
        <v>1.0</v>
      </c>
      <c r="U16" s="3">
        <v>1.0</v>
      </c>
      <c r="V16" s="2">
        <v>5.0</v>
      </c>
      <c r="W16" s="3">
        <v>1.0</v>
      </c>
      <c r="X16" s="3">
        <v>0.0</v>
      </c>
      <c r="Y16" s="3">
        <v>1.0</v>
      </c>
      <c r="Z16" s="3">
        <v>1.0</v>
      </c>
      <c r="AA16" s="3">
        <v>0.0</v>
      </c>
      <c r="AB16" s="3">
        <v>1.0</v>
      </c>
      <c r="AC16" s="3">
        <v>1.0</v>
      </c>
      <c r="AD16" s="3">
        <v>1.0</v>
      </c>
      <c r="AE16" s="3">
        <v>0.0</v>
      </c>
      <c r="AF16" s="3">
        <v>1.0</v>
      </c>
      <c r="AG16" s="3">
        <v>1.0</v>
      </c>
      <c r="AH16" s="3">
        <v>1.0</v>
      </c>
    </row>
    <row r="17">
      <c r="A17" s="2" t="s">
        <v>13</v>
      </c>
      <c r="B17" s="3">
        <f>IFERROR(__xludf.DUMMYFUNCTION("split(A17,""{,}"")"),1.0)</f>
        <v>1</v>
      </c>
      <c r="C17" s="3">
        <f>IFERROR(__xludf.DUMMYFUNCTION("""COMPUTED_VALUE"""),0.0)</f>
        <v>0</v>
      </c>
      <c r="D17" s="3">
        <f>IFERROR(__xludf.DUMMYFUNCTION("""COMPUTED_VALUE"""),0.0)</f>
        <v>0</v>
      </c>
      <c r="E17" s="3">
        <f>IFERROR(__xludf.DUMMYFUNCTION("""COMPUTED_VALUE"""),0.0)</f>
        <v>0</v>
      </c>
      <c r="F17" s="3">
        <f>IFERROR(__xludf.DUMMYFUNCTION("""COMPUTED_VALUE"""),1.0)</f>
        <v>1</v>
      </c>
      <c r="G17" s="3">
        <f>IFERROR(__xludf.DUMMYFUNCTION("""COMPUTED_VALUE"""),0.0)</f>
        <v>0</v>
      </c>
      <c r="H17" s="3">
        <f>IFERROR(__xludf.DUMMYFUNCTION("""COMPUTED_VALUE"""),0.0)</f>
        <v>0</v>
      </c>
      <c r="I17" s="3">
        <f>IFERROR(__xludf.DUMMYFUNCTION("""COMPUTED_VALUE"""),1.0)</f>
        <v>1</v>
      </c>
      <c r="J17" s="3">
        <f>IFERROR(__xludf.DUMMYFUNCTION("""COMPUTED_VALUE"""),5.0)</f>
        <v>5</v>
      </c>
      <c r="K17" s="3">
        <f>IFERROR(__xludf.DUMMYFUNCTION("""COMPUTED_VALUE"""),0.0)</f>
        <v>0</v>
      </c>
      <c r="L17" s="3">
        <f>IFERROR(__xludf.DUMMYFUNCTION("""COMPUTED_VALUE"""),0.0)</f>
        <v>0</v>
      </c>
      <c r="M17" s="3">
        <f>IFERROR(__xludf.DUMMYFUNCTION("""COMPUTED_VALUE"""),0.0)</f>
        <v>0</v>
      </c>
      <c r="N17" s="3">
        <f>IFERROR(__xludf.DUMMYFUNCTION("""COMPUTED_VALUE"""),0.0)</f>
        <v>0</v>
      </c>
      <c r="O17" s="3">
        <f>IFERROR(__xludf.DUMMYFUNCTION("""COMPUTED_VALUE"""),0.0)</f>
        <v>0</v>
      </c>
      <c r="P17" s="3">
        <f>IFERROR(__xludf.DUMMYFUNCTION("""COMPUTED_VALUE"""),0.0)</f>
        <v>0</v>
      </c>
      <c r="Q17" s="3">
        <f>IFERROR(__xludf.DUMMYFUNCTION("""COMPUTED_VALUE"""),1.0)</f>
        <v>1</v>
      </c>
      <c r="S17" s="3">
        <v>1.0</v>
      </c>
      <c r="T17" s="3">
        <v>0.0</v>
      </c>
      <c r="U17" s="3">
        <v>0.0</v>
      </c>
      <c r="V17" s="3">
        <v>0.0</v>
      </c>
      <c r="W17" s="3">
        <v>1.0</v>
      </c>
      <c r="X17" s="3">
        <v>0.0</v>
      </c>
      <c r="Y17" s="3">
        <v>0.0</v>
      </c>
      <c r="Z17" s="3">
        <v>1.0</v>
      </c>
      <c r="AA17" s="3">
        <v>5.0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2">
        <v>5.0</v>
      </c>
      <c r="AH17" s="3">
        <v>1.0</v>
      </c>
    </row>
    <row r="18">
      <c r="A18" s="2" t="s">
        <v>14</v>
      </c>
      <c r="B18" s="3">
        <f>IFERROR(__xludf.DUMMYFUNCTION("split(A18,""{,}"")"),1.0)</f>
        <v>1</v>
      </c>
      <c r="C18" s="3">
        <f>IFERROR(__xludf.DUMMYFUNCTION("""COMPUTED_VALUE"""),0.0)</f>
        <v>0</v>
      </c>
      <c r="D18" s="3">
        <f>IFERROR(__xludf.DUMMYFUNCTION("""COMPUTED_VALUE"""),1.0)</f>
        <v>1</v>
      </c>
      <c r="E18" s="3">
        <f>IFERROR(__xludf.DUMMYFUNCTION("""COMPUTED_VALUE"""),0.0)</f>
        <v>0</v>
      </c>
      <c r="F18" s="3">
        <f>IFERROR(__xludf.DUMMYFUNCTION("""COMPUTED_VALUE"""),1.0)</f>
        <v>1</v>
      </c>
      <c r="G18" s="3">
        <f>IFERROR(__xludf.DUMMYFUNCTION("""COMPUTED_VALUE"""),1.0)</f>
        <v>1</v>
      </c>
      <c r="H18" s="3">
        <f>IFERROR(__xludf.DUMMYFUNCTION("""COMPUTED_VALUE"""),0.0)</f>
        <v>0</v>
      </c>
      <c r="I18" s="3">
        <f>IFERROR(__xludf.DUMMYFUNCTION("""COMPUTED_VALUE"""),1.0)</f>
        <v>1</v>
      </c>
      <c r="J18" s="3">
        <f>IFERROR(__xludf.DUMMYFUNCTION("""COMPUTED_VALUE"""),1.0)</f>
        <v>1</v>
      </c>
      <c r="K18" s="3">
        <f>IFERROR(__xludf.DUMMYFUNCTION("""COMPUTED_VALUE"""),0.0)</f>
        <v>0</v>
      </c>
      <c r="L18" s="3">
        <f>IFERROR(__xludf.DUMMYFUNCTION("""COMPUTED_VALUE"""),1.0)</f>
        <v>1</v>
      </c>
      <c r="M18" s="3">
        <f>IFERROR(__xludf.DUMMYFUNCTION("""COMPUTED_VALUE"""),1.0)</f>
        <v>1</v>
      </c>
      <c r="N18" s="3">
        <f>IFERROR(__xludf.DUMMYFUNCTION("""COMPUTED_VALUE"""),0.0)</f>
        <v>0</v>
      </c>
      <c r="O18" s="3">
        <f>IFERROR(__xludf.DUMMYFUNCTION("""COMPUTED_VALUE"""),1.0)</f>
        <v>1</v>
      </c>
      <c r="P18" s="3">
        <f>IFERROR(__xludf.DUMMYFUNCTION("""COMPUTED_VALUE"""),1.0)</f>
        <v>1</v>
      </c>
      <c r="Q18" s="3">
        <f>IFERROR(__xludf.DUMMYFUNCTION("""COMPUTED_VALUE"""),1.0)</f>
        <v>1</v>
      </c>
      <c r="S18" s="3">
        <v>1.0</v>
      </c>
      <c r="T18" s="3">
        <v>0.0</v>
      </c>
      <c r="U18" s="3">
        <v>1.0</v>
      </c>
      <c r="V18" s="3">
        <v>0.0</v>
      </c>
      <c r="W18" s="3">
        <v>1.0</v>
      </c>
      <c r="X18" s="3">
        <v>1.0</v>
      </c>
      <c r="Y18" s="3">
        <v>0.0</v>
      </c>
      <c r="Z18" s="3">
        <v>1.0</v>
      </c>
      <c r="AA18" s="3">
        <v>1.0</v>
      </c>
      <c r="AB18" s="3">
        <v>0.0</v>
      </c>
      <c r="AC18" s="3">
        <v>1.0</v>
      </c>
      <c r="AD18" s="3">
        <v>1.0</v>
      </c>
      <c r="AE18" s="3">
        <v>0.0</v>
      </c>
      <c r="AF18" s="3">
        <v>1.0</v>
      </c>
      <c r="AG18" s="3">
        <v>1.0</v>
      </c>
      <c r="AH18" s="3">
        <v>1.0</v>
      </c>
    </row>
    <row r="19">
      <c r="A19" s="2" t="s">
        <v>15</v>
      </c>
      <c r="B19" s="3">
        <f>IFERROR(__xludf.DUMMYFUNCTION("split(A19,""{,}"")"),1.0)</f>
        <v>1</v>
      </c>
      <c r="C19" s="3">
        <f>IFERROR(__xludf.DUMMYFUNCTION("""COMPUTED_VALUE"""),0.0)</f>
        <v>0</v>
      </c>
      <c r="D19" s="3">
        <f>IFERROR(__xludf.DUMMYFUNCTION("""COMPUTED_VALUE"""),1.0)</f>
        <v>1</v>
      </c>
      <c r="E19" s="3">
        <f>IFERROR(__xludf.DUMMYFUNCTION("""COMPUTED_VALUE"""),0.0)</f>
        <v>0</v>
      </c>
      <c r="F19" s="3">
        <f>IFERROR(__xludf.DUMMYFUNCTION("""COMPUTED_VALUE"""),0.0)</f>
        <v>0</v>
      </c>
      <c r="G19" s="3">
        <f>IFERROR(__xludf.DUMMYFUNCTION("""COMPUTED_VALUE"""),0.0)</f>
        <v>0</v>
      </c>
      <c r="H19" s="3">
        <f>IFERROR(__xludf.DUMMYFUNCTION("""COMPUTED_VALUE"""),0.0)</f>
        <v>0</v>
      </c>
      <c r="I19" s="3">
        <f>IFERROR(__xludf.DUMMYFUNCTION("""COMPUTED_VALUE"""),0.0)</f>
        <v>0</v>
      </c>
      <c r="J19" s="3">
        <f>IFERROR(__xludf.DUMMYFUNCTION("""COMPUTED_VALUE"""),0.0)</f>
        <v>0</v>
      </c>
      <c r="K19" s="3">
        <f>IFERROR(__xludf.DUMMYFUNCTION("""COMPUTED_VALUE"""),0.0)</f>
        <v>0</v>
      </c>
      <c r="L19" s="3">
        <f>IFERROR(__xludf.DUMMYFUNCTION("""COMPUTED_VALUE"""),0.0)</f>
        <v>0</v>
      </c>
      <c r="M19" s="3">
        <f>IFERROR(__xludf.DUMMYFUNCTION("""COMPUTED_VALUE"""),0.0)</f>
        <v>0</v>
      </c>
      <c r="N19" s="3">
        <f>IFERROR(__xludf.DUMMYFUNCTION("""COMPUTED_VALUE"""),0.0)</f>
        <v>0</v>
      </c>
      <c r="O19" s="3">
        <f>IFERROR(__xludf.DUMMYFUNCTION("""COMPUTED_VALUE"""),0.0)</f>
        <v>0</v>
      </c>
      <c r="P19" s="3">
        <f>IFERROR(__xludf.DUMMYFUNCTION("""COMPUTED_VALUE"""),0.0)</f>
        <v>0</v>
      </c>
      <c r="Q19" s="3">
        <f>IFERROR(__xludf.DUMMYFUNCTION("""COMPUTED_VALUE"""),1.0)</f>
        <v>1</v>
      </c>
      <c r="S19" s="3">
        <v>1.0</v>
      </c>
      <c r="T19" s="3">
        <v>0.0</v>
      </c>
      <c r="U19" s="3">
        <v>1.0</v>
      </c>
      <c r="V19" s="3">
        <v>0.0</v>
      </c>
      <c r="W19" s="3">
        <v>0.0</v>
      </c>
      <c r="X19" s="2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1.0</v>
      </c>
    </row>
    <row r="20">
      <c r="A20" s="2" t="s">
        <v>16</v>
      </c>
      <c r="B20" s="3">
        <f>IFERROR(__xludf.DUMMYFUNCTION("split(A20,""{,}"")"),1.0)</f>
        <v>1</v>
      </c>
      <c r="C20" s="3">
        <f>IFERROR(__xludf.DUMMYFUNCTION("""COMPUTED_VALUE"""),0.0)</f>
        <v>0</v>
      </c>
      <c r="D20" s="3">
        <f>IFERROR(__xludf.DUMMYFUNCTION("""COMPUTED_VALUE"""),1.0)</f>
        <v>1</v>
      </c>
      <c r="E20" s="3">
        <f>IFERROR(__xludf.DUMMYFUNCTION("""COMPUTED_VALUE"""),1.0)</f>
        <v>1</v>
      </c>
      <c r="F20" s="3">
        <f>IFERROR(__xludf.DUMMYFUNCTION("""COMPUTED_VALUE"""),0.0)</f>
        <v>0</v>
      </c>
      <c r="G20" s="3">
        <f>IFERROR(__xludf.DUMMYFUNCTION("""COMPUTED_VALUE"""),1.0)</f>
        <v>1</v>
      </c>
      <c r="H20" s="3">
        <f>IFERROR(__xludf.DUMMYFUNCTION("""COMPUTED_VALUE"""),1.0)</f>
        <v>1</v>
      </c>
      <c r="I20" s="3">
        <f>IFERROR(__xludf.DUMMYFUNCTION("""COMPUTED_VALUE"""),0.0)</f>
        <v>0</v>
      </c>
      <c r="J20" s="3">
        <f>IFERROR(__xludf.DUMMYFUNCTION("""COMPUTED_VALUE"""),1.0)</f>
        <v>1</v>
      </c>
      <c r="K20" s="3">
        <f>IFERROR(__xludf.DUMMYFUNCTION("""COMPUTED_VALUE"""),1.0)</f>
        <v>1</v>
      </c>
      <c r="L20" s="3">
        <f>IFERROR(__xludf.DUMMYFUNCTION("""COMPUTED_VALUE"""),0.0)</f>
        <v>0</v>
      </c>
      <c r="M20" s="3">
        <f>IFERROR(__xludf.DUMMYFUNCTION("""COMPUTED_VALUE"""),1.0)</f>
        <v>1</v>
      </c>
      <c r="N20" s="3">
        <f>IFERROR(__xludf.DUMMYFUNCTION("""COMPUTED_VALUE"""),1.0)</f>
        <v>1</v>
      </c>
      <c r="O20" s="3">
        <f>IFERROR(__xludf.DUMMYFUNCTION("""COMPUTED_VALUE"""),0.0)</f>
        <v>0</v>
      </c>
      <c r="P20" s="3">
        <f>IFERROR(__xludf.DUMMYFUNCTION("""COMPUTED_VALUE"""),1.0)</f>
        <v>1</v>
      </c>
      <c r="Q20" s="3">
        <f>IFERROR(__xludf.DUMMYFUNCTION("""COMPUTED_VALUE"""),1.0)</f>
        <v>1</v>
      </c>
      <c r="S20" s="3">
        <v>1.0</v>
      </c>
      <c r="T20" s="3">
        <v>0.0</v>
      </c>
      <c r="U20" s="3">
        <v>1.0</v>
      </c>
      <c r="V20" s="3">
        <v>1.0</v>
      </c>
      <c r="W20" s="3">
        <v>0.0</v>
      </c>
      <c r="X20" s="3">
        <v>1.0</v>
      </c>
      <c r="Y20" s="3">
        <v>1.0</v>
      </c>
      <c r="Z20" s="3">
        <v>0.0</v>
      </c>
      <c r="AA20" s="3">
        <v>1.0</v>
      </c>
      <c r="AB20" s="3">
        <v>1.0</v>
      </c>
      <c r="AC20" s="2">
        <v>5.0</v>
      </c>
      <c r="AD20" s="3">
        <v>1.0</v>
      </c>
      <c r="AE20" s="3">
        <v>1.0</v>
      </c>
      <c r="AF20" s="3">
        <v>0.0</v>
      </c>
      <c r="AG20" s="3">
        <v>1.0</v>
      </c>
      <c r="AH20" s="3">
        <v>1.0</v>
      </c>
    </row>
    <row r="21">
      <c r="A21" s="2" t="s">
        <v>17</v>
      </c>
      <c r="B21" s="3">
        <f>IFERROR(__xludf.DUMMYFUNCTION("split(A21,""{,}"")"),1.0)</f>
        <v>1</v>
      </c>
      <c r="C21" s="3">
        <f>IFERROR(__xludf.DUMMYFUNCTION("""COMPUTED_VALUE"""),6.0)</f>
        <v>6</v>
      </c>
      <c r="D21" s="3">
        <f>IFERROR(__xludf.DUMMYFUNCTION("""COMPUTED_VALUE"""),0.0)</f>
        <v>0</v>
      </c>
      <c r="E21" s="3">
        <f>IFERROR(__xludf.DUMMYFUNCTION("""COMPUTED_VALUE"""),0.0)</f>
        <v>0</v>
      </c>
      <c r="F21" s="3">
        <f>IFERROR(__xludf.DUMMYFUNCTION("""COMPUTED_VALUE"""),0.0)</f>
        <v>0</v>
      </c>
      <c r="G21" s="3">
        <f>IFERROR(__xludf.DUMMYFUNCTION("""COMPUTED_VALUE"""),0.0)</f>
        <v>0</v>
      </c>
      <c r="H21" s="3">
        <f>IFERROR(__xludf.DUMMYFUNCTION("""COMPUTED_VALUE"""),0.0)</f>
        <v>0</v>
      </c>
      <c r="I21" s="3">
        <f>IFERROR(__xludf.DUMMYFUNCTION("""COMPUTED_VALUE"""),0.0)</f>
        <v>0</v>
      </c>
      <c r="J21" s="3">
        <f>IFERROR(__xludf.DUMMYFUNCTION("""COMPUTED_VALUE"""),0.0)</f>
        <v>0</v>
      </c>
      <c r="K21" s="3">
        <f>IFERROR(__xludf.DUMMYFUNCTION("""COMPUTED_VALUE"""),0.0)</f>
        <v>0</v>
      </c>
      <c r="L21" s="3">
        <f>IFERROR(__xludf.DUMMYFUNCTION("""COMPUTED_VALUE"""),0.0)</f>
        <v>0</v>
      </c>
      <c r="M21" s="3">
        <f>IFERROR(__xludf.DUMMYFUNCTION("""COMPUTED_VALUE"""),0.0)</f>
        <v>0</v>
      </c>
      <c r="N21" s="3">
        <f>IFERROR(__xludf.DUMMYFUNCTION("""COMPUTED_VALUE"""),0.0)</f>
        <v>0</v>
      </c>
      <c r="O21" s="3">
        <f>IFERROR(__xludf.DUMMYFUNCTION("""COMPUTED_VALUE"""),0.0)</f>
        <v>0</v>
      </c>
      <c r="P21" s="3">
        <f>IFERROR(__xludf.DUMMYFUNCTION("""COMPUTED_VALUE"""),3.0)</f>
        <v>3</v>
      </c>
      <c r="Q21" s="3">
        <f>IFERROR(__xludf.DUMMYFUNCTION("""COMPUTED_VALUE"""),1.0)</f>
        <v>1</v>
      </c>
      <c r="S21" s="3">
        <v>1.0</v>
      </c>
      <c r="T21" s="3">
        <v>6.0</v>
      </c>
      <c r="U21" s="3">
        <v>0.0</v>
      </c>
      <c r="V21" s="3">
        <v>0.0</v>
      </c>
      <c r="W21" s="3">
        <v>0.0</v>
      </c>
      <c r="X21" s="2">
        <v>1.0</v>
      </c>
      <c r="Y21" s="2">
        <v>4.0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2">
        <v>0.0</v>
      </c>
      <c r="AH21" s="3">
        <v>1.0</v>
      </c>
    </row>
    <row r="22">
      <c r="A22" s="2" t="s">
        <v>3</v>
      </c>
      <c r="B22" s="3">
        <f>IFERROR(__xludf.DUMMYFUNCTION("split(A22,""{,}"")"),1.0)</f>
        <v>1</v>
      </c>
      <c r="C22" s="3">
        <f>IFERROR(__xludf.DUMMYFUNCTION("""COMPUTED_VALUE"""),1.0)</f>
        <v>1</v>
      </c>
      <c r="D22" s="3">
        <f>IFERROR(__xludf.DUMMYFUNCTION("""COMPUTED_VALUE"""),1.0)</f>
        <v>1</v>
      </c>
      <c r="E22" s="3">
        <f>IFERROR(__xludf.DUMMYFUNCTION("""COMPUTED_VALUE"""),1.0)</f>
        <v>1</v>
      </c>
      <c r="F22" s="3">
        <f>IFERROR(__xludf.DUMMYFUNCTION("""COMPUTED_VALUE"""),1.0)</f>
        <v>1</v>
      </c>
      <c r="G22" s="3">
        <f>IFERROR(__xludf.DUMMYFUNCTION("""COMPUTED_VALUE"""),1.0)</f>
        <v>1</v>
      </c>
      <c r="H22" s="3">
        <f>IFERROR(__xludf.DUMMYFUNCTION("""COMPUTED_VALUE"""),1.0)</f>
        <v>1</v>
      </c>
      <c r="I22" s="3">
        <f>IFERROR(__xludf.DUMMYFUNCTION("""COMPUTED_VALUE"""),1.0)</f>
        <v>1</v>
      </c>
      <c r="J22" s="3">
        <f>IFERROR(__xludf.DUMMYFUNCTION("""COMPUTED_VALUE"""),1.0)</f>
        <v>1</v>
      </c>
      <c r="K22" s="3">
        <f>IFERROR(__xludf.DUMMYFUNCTION("""COMPUTED_VALUE"""),1.0)</f>
        <v>1</v>
      </c>
      <c r="L22" s="3">
        <f>IFERROR(__xludf.DUMMYFUNCTION("""COMPUTED_VALUE"""),1.0)</f>
        <v>1</v>
      </c>
      <c r="M22" s="3">
        <f>IFERROR(__xludf.DUMMYFUNCTION("""COMPUTED_VALUE"""),1.0)</f>
        <v>1</v>
      </c>
      <c r="N22" s="3">
        <f>IFERROR(__xludf.DUMMYFUNCTION("""COMPUTED_VALUE"""),1.0)</f>
        <v>1</v>
      </c>
      <c r="O22" s="3">
        <f>IFERROR(__xludf.DUMMYFUNCTION("""COMPUTED_VALUE"""),1.0)</f>
        <v>1</v>
      </c>
      <c r="P22" s="3">
        <f>IFERROR(__xludf.DUMMYFUNCTION("""COMPUTED_VALUE"""),1.0)</f>
        <v>1</v>
      </c>
      <c r="Q22" s="3">
        <f>IFERROR(__xludf.DUMMYFUNCTION("""COMPUTED_VALUE"""),1.0)</f>
        <v>1</v>
      </c>
      <c r="S22" s="3">
        <v>1.0</v>
      </c>
      <c r="T22" s="3">
        <v>1.0</v>
      </c>
      <c r="U22" s="3">
        <v>1.0</v>
      </c>
      <c r="V22" s="3">
        <v>1.0</v>
      </c>
      <c r="W22" s="3">
        <v>1.0</v>
      </c>
      <c r="X22" s="3">
        <v>1.0</v>
      </c>
      <c r="Y22" s="3">
        <v>1.0</v>
      </c>
      <c r="Z22" s="3">
        <v>1.0</v>
      </c>
      <c r="AA22" s="3">
        <v>1.0</v>
      </c>
      <c r="AB22" s="3">
        <v>1.0</v>
      </c>
      <c r="AC22" s="3">
        <v>1.0</v>
      </c>
      <c r="AD22" s="3">
        <v>1.0</v>
      </c>
      <c r="AE22" s="3">
        <v>1.0</v>
      </c>
      <c r="AF22" s="3">
        <v>1.0</v>
      </c>
      <c r="AG22" s="3">
        <v>1.0</v>
      </c>
      <c r="AH22" s="3">
        <v>1.0</v>
      </c>
    </row>
    <row r="24">
      <c r="A24" s="2">
        <v>2.1</v>
      </c>
    </row>
    <row r="25">
      <c r="A25" s="2" t="s">
        <v>3</v>
      </c>
      <c r="B25" s="3">
        <f>IFERROR(__xludf.DUMMYFUNCTION("split(A25,""{,}"")"),1.0)</f>
        <v>1</v>
      </c>
      <c r="C25" s="3">
        <f>IFERROR(__xludf.DUMMYFUNCTION("""COMPUTED_VALUE"""),1.0)</f>
        <v>1</v>
      </c>
      <c r="D25" s="3">
        <f>IFERROR(__xludf.DUMMYFUNCTION("""COMPUTED_VALUE"""),1.0)</f>
        <v>1</v>
      </c>
      <c r="E25" s="3">
        <f>IFERROR(__xludf.DUMMYFUNCTION("""COMPUTED_VALUE"""),1.0)</f>
        <v>1</v>
      </c>
      <c r="F25" s="3">
        <f>IFERROR(__xludf.DUMMYFUNCTION("""COMPUTED_VALUE"""),1.0)</f>
        <v>1</v>
      </c>
      <c r="G25" s="3">
        <f>IFERROR(__xludf.DUMMYFUNCTION("""COMPUTED_VALUE"""),1.0)</f>
        <v>1</v>
      </c>
      <c r="H25" s="3">
        <f>IFERROR(__xludf.DUMMYFUNCTION("""COMPUTED_VALUE"""),1.0)</f>
        <v>1</v>
      </c>
      <c r="I25" s="3">
        <f>IFERROR(__xludf.DUMMYFUNCTION("""COMPUTED_VALUE"""),1.0)</f>
        <v>1</v>
      </c>
      <c r="J25" s="3">
        <f>IFERROR(__xludf.DUMMYFUNCTION("""COMPUTED_VALUE"""),1.0)</f>
        <v>1</v>
      </c>
      <c r="K25" s="3">
        <f>IFERROR(__xludf.DUMMYFUNCTION("""COMPUTED_VALUE"""),1.0)</f>
        <v>1</v>
      </c>
      <c r="L25" s="3">
        <f>IFERROR(__xludf.DUMMYFUNCTION("""COMPUTED_VALUE"""),1.0)</f>
        <v>1</v>
      </c>
      <c r="M25" s="3">
        <f>IFERROR(__xludf.DUMMYFUNCTION("""COMPUTED_VALUE"""),1.0)</f>
        <v>1</v>
      </c>
      <c r="N25" s="3">
        <f>IFERROR(__xludf.DUMMYFUNCTION("""COMPUTED_VALUE"""),1.0)</f>
        <v>1</v>
      </c>
      <c r="O25" s="3">
        <f>IFERROR(__xludf.DUMMYFUNCTION("""COMPUTED_VALUE"""),1.0)</f>
        <v>1</v>
      </c>
      <c r="P25" s="3">
        <f>IFERROR(__xludf.DUMMYFUNCTION("""COMPUTED_VALUE"""),1.0)</f>
        <v>1</v>
      </c>
      <c r="Q25" s="3">
        <f>IFERROR(__xludf.DUMMYFUNCTION("""COMPUTED_VALUE"""),1.0)</f>
        <v>1</v>
      </c>
      <c r="S25" s="3">
        <v>1.0</v>
      </c>
      <c r="T25" s="3">
        <v>1.0</v>
      </c>
      <c r="U25" s="3">
        <v>1.0</v>
      </c>
      <c r="V25" s="3">
        <v>1.0</v>
      </c>
      <c r="W25" s="3">
        <v>1.0</v>
      </c>
      <c r="X25" s="3">
        <v>1.0</v>
      </c>
      <c r="Y25" s="3">
        <v>1.0</v>
      </c>
      <c r="Z25" s="3">
        <v>1.0</v>
      </c>
      <c r="AA25" s="3">
        <v>1.0</v>
      </c>
      <c r="AB25" s="3">
        <v>1.0</v>
      </c>
      <c r="AC25" s="3">
        <v>1.0</v>
      </c>
      <c r="AD25" s="3">
        <v>1.0</v>
      </c>
      <c r="AE25" s="3">
        <v>1.0</v>
      </c>
      <c r="AF25" s="3">
        <v>1.0</v>
      </c>
      <c r="AG25" s="3">
        <v>1.0</v>
      </c>
      <c r="AH25" s="3">
        <v>1.0</v>
      </c>
    </row>
    <row r="26">
      <c r="A26" s="2" t="s">
        <v>18</v>
      </c>
      <c r="B26" s="3">
        <f>IFERROR(__xludf.DUMMYFUNCTION("split(A26,""{,}"")"),1.0)</f>
        <v>1</v>
      </c>
      <c r="C26" s="3">
        <f>IFERROR(__xludf.DUMMYFUNCTION("""COMPUTED_VALUE"""),0.0)</f>
        <v>0</v>
      </c>
      <c r="D26" s="3">
        <f>IFERROR(__xludf.DUMMYFUNCTION("""COMPUTED_VALUE"""),0.0)</f>
        <v>0</v>
      </c>
      <c r="E26" s="3">
        <f>IFERROR(__xludf.DUMMYFUNCTION("""COMPUTED_VALUE"""),0.0)</f>
        <v>0</v>
      </c>
      <c r="F26" s="3">
        <f>IFERROR(__xludf.DUMMYFUNCTION("""COMPUTED_VALUE"""),0.0)</f>
        <v>0</v>
      </c>
      <c r="G26" s="3">
        <f>IFERROR(__xludf.DUMMYFUNCTION("""COMPUTED_VALUE"""),0.0)</f>
        <v>0</v>
      </c>
      <c r="H26" s="3">
        <f>IFERROR(__xludf.DUMMYFUNCTION("""COMPUTED_VALUE"""),0.0)</f>
        <v>0</v>
      </c>
      <c r="I26" s="3">
        <f>IFERROR(__xludf.DUMMYFUNCTION("""COMPUTED_VALUE"""),0.0)</f>
        <v>0</v>
      </c>
      <c r="J26" s="3">
        <f>IFERROR(__xludf.DUMMYFUNCTION("""COMPUTED_VALUE"""),0.0)</f>
        <v>0</v>
      </c>
      <c r="K26" s="3">
        <f>IFERROR(__xludf.DUMMYFUNCTION("""COMPUTED_VALUE"""),0.0)</f>
        <v>0</v>
      </c>
      <c r="L26" s="3">
        <f>IFERROR(__xludf.DUMMYFUNCTION("""COMPUTED_VALUE"""),0.0)</f>
        <v>0</v>
      </c>
      <c r="M26" s="3">
        <f>IFERROR(__xludf.DUMMYFUNCTION("""COMPUTED_VALUE"""),0.0)</f>
        <v>0</v>
      </c>
      <c r="N26" s="3">
        <f>IFERROR(__xludf.DUMMYFUNCTION("""COMPUTED_VALUE"""),0.0)</f>
        <v>0</v>
      </c>
      <c r="O26" s="3">
        <f>IFERROR(__xludf.DUMMYFUNCTION("""COMPUTED_VALUE"""),0.0)</f>
        <v>0</v>
      </c>
      <c r="P26" s="3">
        <f>IFERROR(__xludf.DUMMYFUNCTION("""COMPUTED_VALUE"""),0.0)</f>
        <v>0</v>
      </c>
      <c r="Q26" s="3">
        <f>IFERROR(__xludf.DUMMYFUNCTION("""COMPUTED_VALUE"""),1.0)</f>
        <v>1</v>
      </c>
      <c r="S26" s="3">
        <v>1.0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3">
        <v>0.0</v>
      </c>
      <c r="AA26" s="3">
        <v>0.0</v>
      </c>
      <c r="AB26" s="3">
        <v>0.0</v>
      </c>
      <c r="AC26" s="3">
        <v>0.0</v>
      </c>
      <c r="AD26" s="3">
        <v>0.0</v>
      </c>
      <c r="AE26" s="3">
        <v>0.0</v>
      </c>
      <c r="AF26" s="3">
        <v>0.0</v>
      </c>
      <c r="AG26" s="3">
        <v>0.0</v>
      </c>
      <c r="AH26" s="3">
        <v>1.0</v>
      </c>
    </row>
    <row r="27">
      <c r="A27" s="2" t="s">
        <v>19</v>
      </c>
      <c r="B27" s="3">
        <f>IFERROR(__xludf.DUMMYFUNCTION("split(A27,""{,}"")"),1.0)</f>
        <v>1</v>
      </c>
      <c r="C27" s="3">
        <f>IFERROR(__xludf.DUMMYFUNCTION("""COMPUTED_VALUE"""),0.0)</f>
        <v>0</v>
      </c>
      <c r="D27" s="3">
        <f>IFERROR(__xludf.DUMMYFUNCTION("""COMPUTED_VALUE"""),1.0)</f>
        <v>1</v>
      </c>
      <c r="E27" s="3">
        <f>IFERROR(__xludf.DUMMYFUNCTION("""COMPUTED_VALUE"""),1.0)</f>
        <v>1</v>
      </c>
      <c r="F27" s="3">
        <f>IFERROR(__xludf.DUMMYFUNCTION("""COMPUTED_VALUE"""),1.0)</f>
        <v>1</v>
      </c>
      <c r="G27" s="3">
        <f>IFERROR(__xludf.DUMMYFUNCTION("""COMPUTED_VALUE"""),0.0)</f>
        <v>0</v>
      </c>
      <c r="H27" s="3">
        <f>IFERROR(__xludf.DUMMYFUNCTION("""COMPUTED_VALUE"""),1.0)</f>
        <v>1</v>
      </c>
      <c r="I27" s="3">
        <f>IFERROR(__xludf.DUMMYFUNCTION("""COMPUTED_VALUE"""),1.0)</f>
        <v>1</v>
      </c>
      <c r="J27" s="3">
        <f>IFERROR(__xludf.DUMMYFUNCTION("""COMPUTED_VALUE"""),0.0)</f>
        <v>0</v>
      </c>
      <c r="K27" s="3">
        <f>IFERROR(__xludf.DUMMYFUNCTION("""COMPUTED_VALUE"""),1.0)</f>
        <v>1</v>
      </c>
      <c r="L27" s="3">
        <f>IFERROR(__xludf.DUMMYFUNCTION("""COMPUTED_VALUE"""),1.0)</f>
        <v>1</v>
      </c>
      <c r="M27" s="3">
        <f>IFERROR(__xludf.DUMMYFUNCTION("""COMPUTED_VALUE"""),0.0)</f>
        <v>0</v>
      </c>
      <c r="N27" s="3">
        <f>IFERROR(__xludf.DUMMYFUNCTION("""COMPUTED_VALUE"""),1.0)</f>
        <v>1</v>
      </c>
      <c r="O27" s="3">
        <f>IFERROR(__xludf.DUMMYFUNCTION("""COMPUTED_VALUE"""),1.0)</f>
        <v>1</v>
      </c>
      <c r="P27" s="3">
        <f>IFERROR(__xludf.DUMMYFUNCTION("""COMPUTED_VALUE"""),6.0)</f>
        <v>6</v>
      </c>
      <c r="Q27" s="3">
        <f>IFERROR(__xludf.DUMMYFUNCTION("""COMPUTED_VALUE"""),1.0)</f>
        <v>1</v>
      </c>
      <c r="S27" s="3">
        <v>1.0</v>
      </c>
      <c r="T27" s="2">
        <v>4.0</v>
      </c>
      <c r="U27" s="3">
        <v>1.0</v>
      </c>
      <c r="V27" s="3">
        <v>1.0</v>
      </c>
      <c r="W27" s="3">
        <v>1.0</v>
      </c>
      <c r="X27" s="3">
        <v>0.0</v>
      </c>
      <c r="Y27" s="3">
        <v>1.0</v>
      </c>
      <c r="Z27" s="3">
        <v>1.0</v>
      </c>
      <c r="AA27" s="2">
        <v>5.0</v>
      </c>
      <c r="AB27" s="3">
        <v>1.0</v>
      </c>
      <c r="AC27" s="3">
        <v>1.0</v>
      </c>
      <c r="AD27" s="3">
        <v>0.0</v>
      </c>
      <c r="AE27" s="3">
        <v>1.0</v>
      </c>
      <c r="AF27" s="3">
        <v>1.0</v>
      </c>
      <c r="AG27" s="3">
        <v>6.0</v>
      </c>
      <c r="AH27" s="3">
        <v>1.0</v>
      </c>
    </row>
    <row r="28">
      <c r="A28" s="2" t="s">
        <v>20</v>
      </c>
      <c r="B28" s="3">
        <f>IFERROR(__xludf.DUMMYFUNCTION("split(A28,""{,}"")"),1.0)</f>
        <v>1</v>
      </c>
      <c r="C28" s="3">
        <f>IFERROR(__xludf.DUMMYFUNCTION("""COMPUTED_VALUE"""),0.0)</f>
        <v>0</v>
      </c>
      <c r="D28" s="3">
        <f>IFERROR(__xludf.DUMMYFUNCTION("""COMPUTED_VALUE"""),0.0)</f>
        <v>0</v>
      </c>
      <c r="E28" s="3">
        <f>IFERROR(__xludf.DUMMYFUNCTION("""COMPUTED_VALUE"""),0.0)</f>
        <v>0</v>
      </c>
      <c r="F28" s="3">
        <f>IFERROR(__xludf.DUMMYFUNCTION("""COMPUTED_VALUE"""),0.0)</f>
        <v>0</v>
      </c>
      <c r="G28" s="3">
        <f>IFERROR(__xludf.DUMMYFUNCTION("""COMPUTED_VALUE"""),0.0)</f>
        <v>0</v>
      </c>
      <c r="H28" s="3">
        <f>IFERROR(__xludf.DUMMYFUNCTION("""COMPUTED_VALUE"""),0.0)</f>
        <v>0</v>
      </c>
      <c r="I28" s="3">
        <f>IFERROR(__xludf.DUMMYFUNCTION("""COMPUTED_VALUE"""),1.0)</f>
        <v>1</v>
      </c>
      <c r="J28" s="3">
        <f>IFERROR(__xludf.DUMMYFUNCTION("""COMPUTED_VALUE"""),1.0)</f>
        <v>1</v>
      </c>
      <c r="K28" s="3">
        <f>IFERROR(__xludf.DUMMYFUNCTION("""COMPUTED_VALUE"""),1.0)</f>
        <v>1</v>
      </c>
      <c r="L28" s="3">
        <f>IFERROR(__xludf.DUMMYFUNCTION("""COMPUTED_VALUE"""),1.0)</f>
        <v>1</v>
      </c>
      <c r="M28" s="3">
        <f>IFERROR(__xludf.DUMMYFUNCTION("""COMPUTED_VALUE"""),0.0)</f>
        <v>0</v>
      </c>
      <c r="N28" s="3">
        <f>IFERROR(__xludf.DUMMYFUNCTION("""COMPUTED_VALUE"""),0.0)</f>
        <v>0</v>
      </c>
      <c r="O28" s="3">
        <f>IFERROR(__xludf.DUMMYFUNCTION("""COMPUTED_VALUE"""),0.0)</f>
        <v>0</v>
      </c>
      <c r="P28" s="3">
        <f>IFERROR(__xludf.DUMMYFUNCTION("""COMPUTED_VALUE"""),0.0)</f>
        <v>0</v>
      </c>
      <c r="Q28" s="3">
        <f>IFERROR(__xludf.DUMMYFUNCTION("""COMPUTED_VALUE"""),1.0)</f>
        <v>1</v>
      </c>
      <c r="S28" s="3">
        <v>1.0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3">
        <v>1.0</v>
      </c>
      <c r="AA28" s="3">
        <v>1.0</v>
      </c>
      <c r="AB28" s="2">
        <v>4.0</v>
      </c>
      <c r="AC28" s="3">
        <v>1.0</v>
      </c>
      <c r="AD28" s="3">
        <v>0.0</v>
      </c>
      <c r="AE28" s="3">
        <v>0.0</v>
      </c>
      <c r="AF28" s="3">
        <v>0.0</v>
      </c>
      <c r="AG28" s="3">
        <v>0.0</v>
      </c>
      <c r="AH28" s="3">
        <v>1.0</v>
      </c>
    </row>
    <row r="29">
      <c r="A29" s="2" t="s">
        <v>21</v>
      </c>
      <c r="B29" s="3">
        <f>IFERROR(__xludf.DUMMYFUNCTION("split(A29,""{,}"")"),1.0)</f>
        <v>1</v>
      </c>
      <c r="C29" s="3">
        <f>IFERROR(__xludf.DUMMYFUNCTION("""COMPUTED_VALUE"""),1.0)</f>
        <v>1</v>
      </c>
      <c r="D29" s="3">
        <f>IFERROR(__xludf.DUMMYFUNCTION("""COMPUTED_VALUE"""),1.0)</f>
        <v>1</v>
      </c>
      <c r="E29" s="3">
        <f>IFERROR(__xludf.DUMMYFUNCTION("""COMPUTED_VALUE"""),1.0)</f>
        <v>1</v>
      </c>
      <c r="F29" s="3">
        <f>IFERROR(__xludf.DUMMYFUNCTION("""COMPUTED_VALUE"""),5.0)</f>
        <v>5</v>
      </c>
      <c r="G29" s="3">
        <f>IFERROR(__xludf.DUMMYFUNCTION("""COMPUTED_VALUE"""),1.0)</f>
        <v>1</v>
      </c>
      <c r="H29" s="3">
        <f>IFERROR(__xludf.DUMMYFUNCTION("""COMPUTED_VALUE"""),1.0)</f>
        <v>1</v>
      </c>
      <c r="I29" s="3">
        <f>IFERROR(__xludf.DUMMYFUNCTION("""COMPUTED_VALUE"""),0.0)</f>
        <v>0</v>
      </c>
      <c r="J29" s="3">
        <f>IFERROR(__xludf.DUMMYFUNCTION("""COMPUTED_VALUE"""),1.0)</f>
        <v>1</v>
      </c>
      <c r="K29" s="3">
        <f>IFERROR(__xludf.DUMMYFUNCTION("""COMPUTED_VALUE"""),1.0)</f>
        <v>1</v>
      </c>
      <c r="L29" s="3">
        <f>IFERROR(__xludf.DUMMYFUNCTION("""COMPUTED_VALUE"""),1.0)</f>
        <v>1</v>
      </c>
      <c r="M29" s="3">
        <f>IFERROR(__xludf.DUMMYFUNCTION("""COMPUTED_VALUE"""),0.0)</f>
        <v>0</v>
      </c>
      <c r="N29" s="3">
        <f>IFERROR(__xludf.DUMMYFUNCTION("""COMPUTED_VALUE"""),1.0)</f>
        <v>1</v>
      </c>
      <c r="O29" s="3">
        <f>IFERROR(__xludf.DUMMYFUNCTION("""COMPUTED_VALUE"""),0.0)</f>
        <v>0</v>
      </c>
      <c r="P29" s="3">
        <f>IFERROR(__xludf.DUMMYFUNCTION("""COMPUTED_VALUE"""),1.0)</f>
        <v>1</v>
      </c>
      <c r="Q29" s="3">
        <f>IFERROR(__xludf.DUMMYFUNCTION("""COMPUTED_VALUE"""),1.0)</f>
        <v>1</v>
      </c>
      <c r="S29" s="3">
        <v>1.0</v>
      </c>
      <c r="T29" s="3">
        <v>1.0</v>
      </c>
      <c r="U29" s="3">
        <v>1.0</v>
      </c>
      <c r="V29" s="3">
        <v>1.0</v>
      </c>
      <c r="W29" s="2">
        <v>0.0</v>
      </c>
      <c r="X29" s="3">
        <v>1.0</v>
      </c>
      <c r="Y29" s="3">
        <v>1.0</v>
      </c>
      <c r="Z29" s="2">
        <v>4.0</v>
      </c>
      <c r="AA29" s="3">
        <v>1.0</v>
      </c>
      <c r="AB29" s="3">
        <v>1.0</v>
      </c>
      <c r="AC29" s="3">
        <v>1.0</v>
      </c>
      <c r="AD29" s="3">
        <v>0.0</v>
      </c>
      <c r="AE29" s="3">
        <v>1.0</v>
      </c>
      <c r="AF29" s="2">
        <v>4.0</v>
      </c>
      <c r="AG29" s="3">
        <v>1.0</v>
      </c>
      <c r="AH29" s="3">
        <v>1.0</v>
      </c>
    </row>
    <row r="30">
      <c r="A30" s="2" t="s">
        <v>22</v>
      </c>
      <c r="B30" s="3">
        <f>IFERROR(__xludf.DUMMYFUNCTION("split(A30,""{,}"")"),1.0)</f>
        <v>1</v>
      </c>
      <c r="C30" s="3">
        <f>IFERROR(__xludf.DUMMYFUNCTION("""COMPUTED_VALUE"""),0.0)</f>
        <v>0</v>
      </c>
      <c r="D30" s="3">
        <f>IFERROR(__xludf.DUMMYFUNCTION("""COMPUTED_VALUE"""),0.0)</f>
        <v>0</v>
      </c>
      <c r="E30" s="3">
        <f>IFERROR(__xludf.DUMMYFUNCTION("""COMPUTED_VALUE"""),0.0)</f>
        <v>0</v>
      </c>
      <c r="F30" s="3">
        <f>IFERROR(__xludf.DUMMYFUNCTION("""COMPUTED_VALUE"""),0.0)</f>
        <v>0</v>
      </c>
      <c r="G30" s="3">
        <f>IFERROR(__xludf.DUMMYFUNCTION("""COMPUTED_VALUE"""),0.0)</f>
        <v>0</v>
      </c>
      <c r="H30" s="3">
        <f>IFERROR(__xludf.DUMMYFUNCTION("""COMPUTED_VALUE"""),0.0)</f>
        <v>0</v>
      </c>
      <c r="I30" s="3">
        <f>IFERROR(__xludf.DUMMYFUNCTION("""COMPUTED_VALUE"""),1.0)</f>
        <v>1</v>
      </c>
      <c r="J30" s="3">
        <f>IFERROR(__xludf.DUMMYFUNCTION("""COMPUTED_VALUE"""),1.0)</f>
        <v>1</v>
      </c>
      <c r="K30" s="3">
        <f>IFERROR(__xludf.DUMMYFUNCTION("""COMPUTED_VALUE"""),1.0)</f>
        <v>1</v>
      </c>
      <c r="L30" s="3">
        <f>IFERROR(__xludf.DUMMYFUNCTION("""COMPUTED_VALUE"""),0.0)</f>
        <v>0</v>
      </c>
      <c r="M30" s="3">
        <f>IFERROR(__xludf.DUMMYFUNCTION("""COMPUTED_VALUE"""),0.0)</f>
        <v>0</v>
      </c>
      <c r="N30" s="3">
        <f>IFERROR(__xludf.DUMMYFUNCTION("""COMPUTED_VALUE"""),0.0)</f>
        <v>0</v>
      </c>
      <c r="O30" s="3">
        <f>IFERROR(__xludf.DUMMYFUNCTION("""COMPUTED_VALUE"""),1.0)</f>
        <v>1</v>
      </c>
      <c r="P30" s="3">
        <f>IFERROR(__xludf.DUMMYFUNCTION("""COMPUTED_VALUE"""),1.0)</f>
        <v>1</v>
      </c>
      <c r="Q30" s="3">
        <f>IFERROR(__xludf.DUMMYFUNCTION("""COMPUTED_VALUE"""),1.0)</f>
        <v>1</v>
      </c>
      <c r="S30" s="3">
        <v>1.0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2">
        <v>5.0</v>
      </c>
      <c r="Z30" s="3">
        <v>1.0</v>
      </c>
      <c r="AA30" s="3">
        <v>1.0</v>
      </c>
      <c r="AB30" s="3">
        <v>1.0</v>
      </c>
      <c r="AC30" s="3">
        <v>0.0</v>
      </c>
      <c r="AD30" s="3">
        <v>0.0</v>
      </c>
      <c r="AE30" s="3">
        <v>0.0</v>
      </c>
      <c r="AF30" s="3">
        <v>1.0</v>
      </c>
      <c r="AG30" s="3">
        <v>1.0</v>
      </c>
      <c r="AH30" s="3">
        <v>1.0</v>
      </c>
    </row>
    <row r="31">
      <c r="A31" s="2" t="s">
        <v>23</v>
      </c>
      <c r="B31" s="3">
        <f>IFERROR(__xludf.DUMMYFUNCTION("split(A31,""{,}"")"),1.0)</f>
        <v>1</v>
      </c>
      <c r="C31" s="3">
        <f>IFERROR(__xludf.DUMMYFUNCTION("""COMPUTED_VALUE"""),0.0)</f>
        <v>0</v>
      </c>
      <c r="D31" s="3">
        <f>IFERROR(__xludf.DUMMYFUNCTION("""COMPUTED_VALUE"""),1.0)</f>
        <v>1</v>
      </c>
      <c r="E31" s="3">
        <f>IFERROR(__xludf.DUMMYFUNCTION("""COMPUTED_VALUE"""),1.0)</f>
        <v>1</v>
      </c>
      <c r="F31" s="3">
        <f>IFERROR(__xludf.DUMMYFUNCTION("""COMPUTED_VALUE"""),0.0)</f>
        <v>0</v>
      </c>
      <c r="G31" s="3">
        <f>IFERROR(__xludf.DUMMYFUNCTION("""COMPUTED_VALUE"""),1.0)</f>
        <v>1</v>
      </c>
      <c r="H31" s="3">
        <f>IFERROR(__xludf.DUMMYFUNCTION("""COMPUTED_VALUE"""),1.0)</f>
        <v>1</v>
      </c>
      <c r="I31" s="3">
        <f>IFERROR(__xludf.DUMMYFUNCTION("""COMPUTED_VALUE"""),1.0)</f>
        <v>1</v>
      </c>
      <c r="J31" s="3">
        <f>IFERROR(__xludf.DUMMYFUNCTION("""COMPUTED_VALUE"""),1.0)</f>
        <v>1</v>
      </c>
      <c r="K31" s="3">
        <f>IFERROR(__xludf.DUMMYFUNCTION("""COMPUTED_VALUE"""),1.0)</f>
        <v>1</v>
      </c>
      <c r="L31" s="3">
        <f>IFERROR(__xludf.DUMMYFUNCTION("""COMPUTED_VALUE"""),1.0)</f>
        <v>1</v>
      </c>
      <c r="M31" s="3">
        <f>IFERROR(__xludf.DUMMYFUNCTION("""COMPUTED_VALUE"""),1.0)</f>
        <v>1</v>
      </c>
      <c r="N31" s="3">
        <f>IFERROR(__xludf.DUMMYFUNCTION("""COMPUTED_VALUE"""),0.0)</f>
        <v>0</v>
      </c>
      <c r="O31" s="3">
        <f>IFERROR(__xludf.DUMMYFUNCTION("""COMPUTED_VALUE"""),1.0)</f>
        <v>1</v>
      </c>
      <c r="P31" s="3">
        <f>IFERROR(__xludf.DUMMYFUNCTION("""COMPUTED_VALUE"""),5.0)</f>
        <v>5</v>
      </c>
      <c r="Q31" s="3">
        <f>IFERROR(__xludf.DUMMYFUNCTION("""COMPUTED_VALUE"""),1.0)</f>
        <v>1</v>
      </c>
      <c r="S31" s="3">
        <v>1.0</v>
      </c>
      <c r="T31" s="3">
        <v>0.0</v>
      </c>
      <c r="U31" s="3">
        <v>1.0</v>
      </c>
      <c r="V31" s="3">
        <v>1.0</v>
      </c>
      <c r="W31" s="3">
        <v>0.0</v>
      </c>
      <c r="X31" s="3">
        <v>1.0</v>
      </c>
      <c r="Y31" s="3">
        <v>1.0</v>
      </c>
      <c r="Z31" s="3">
        <v>1.0</v>
      </c>
      <c r="AA31" s="3">
        <v>1.0</v>
      </c>
      <c r="AB31" s="3">
        <v>1.0</v>
      </c>
      <c r="AC31" s="3">
        <v>1.0</v>
      </c>
      <c r="AD31" s="3">
        <v>1.0</v>
      </c>
      <c r="AE31" s="3">
        <v>0.0</v>
      </c>
      <c r="AF31" s="3">
        <v>1.0</v>
      </c>
      <c r="AG31" s="3">
        <v>5.0</v>
      </c>
      <c r="AH31" s="3">
        <v>1.0</v>
      </c>
    </row>
    <row r="32">
      <c r="A32" s="2" t="s">
        <v>24</v>
      </c>
      <c r="B32" s="3">
        <f>IFERROR(__xludf.DUMMYFUNCTION("split(A32,""{,}"")"),1.0)</f>
        <v>1</v>
      </c>
      <c r="C32" s="3">
        <f>IFERROR(__xludf.DUMMYFUNCTION("""COMPUTED_VALUE"""),0.0)</f>
        <v>0</v>
      </c>
      <c r="D32" s="3">
        <f>IFERROR(__xludf.DUMMYFUNCTION("""COMPUTED_VALUE"""),0.0)</f>
        <v>0</v>
      </c>
      <c r="E32" s="3">
        <f>IFERROR(__xludf.DUMMYFUNCTION("""COMPUTED_VALUE"""),0.0)</f>
        <v>0</v>
      </c>
      <c r="F32" s="3">
        <f>IFERROR(__xludf.DUMMYFUNCTION("""COMPUTED_VALUE"""),0.0)</f>
        <v>0</v>
      </c>
      <c r="G32" s="3">
        <f>IFERROR(__xludf.DUMMYFUNCTION("""COMPUTED_VALUE"""),0.0)</f>
        <v>0</v>
      </c>
      <c r="H32" s="3">
        <f>IFERROR(__xludf.DUMMYFUNCTION("""COMPUTED_VALUE"""),4.0)</f>
        <v>4</v>
      </c>
      <c r="I32" s="3">
        <f>IFERROR(__xludf.DUMMYFUNCTION("""COMPUTED_VALUE"""),0.0)</f>
        <v>0</v>
      </c>
      <c r="J32" s="3">
        <f>IFERROR(__xludf.DUMMYFUNCTION("""COMPUTED_VALUE"""),0.0)</f>
        <v>0</v>
      </c>
      <c r="K32" s="3">
        <f>IFERROR(__xludf.DUMMYFUNCTION("""COMPUTED_VALUE"""),2.0)</f>
        <v>2</v>
      </c>
      <c r="L32" s="3">
        <f>IFERROR(__xludf.DUMMYFUNCTION("""COMPUTED_VALUE"""),0.0)</f>
        <v>0</v>
      </c>
      <c r="M32" s="3">
        <f>IFERROR(__xludf.DUMMYFUNCTION("""COMPUTED_VALUE"""),0.0)</f>
        <v>0</v>
      </c>
      <c r="N32" s="3">
        <f>IFERROR(__xludf.DUMMYFUNCTION("""COMPUTED_VALUE"""),0.0)</f>
        <v>0</v>
      </c>
      <c r="O32" s="3">
        <f>IFERROR(__xludf.DUMMYFUNCTION("""COMPUTED_VALUE"""),0.0)</f>
        <v>0</v>
      </c>
      <c r="P32" s="3">
        <f>IFERROR(__xludf.DUMMYFUNCTION("""COMPUTED_VALUE"""),0.0)</f>
        <v>0</v>
      </c>
      <c r="Q32" s="3">
        <f>IFERROR(__xludf.DUMMYFUNCTION("""COMPUTED_VALUE"""),1.0)</f>
        <v>1</v>
      </c>
      <c r="S32" s="3">
        <v>1.0</v>
      </c>
      <c r="T32" s="3">
        <v>0.0</v>
      </c>
      <c r="U32" s="3">
        <v>0.0</v>
      </c>
      <c r="V32" s="3">
        <v>0.0</v>
      </c>
      <c r="W32" s="3">
        <v>0.0</v>
      </c>
      <c r="X32" s="3">
        <v>0.0</v>
      </c>
      <c r="Y32" s="3">
        <v>4.0</v>
      </c>
      <c r="Z32" s="2">
        <v>1.0</v>
      </c>
      <c r="AA32" s="2">
        <v>1.0</v>
      </c>
      <c r="AB32" s="2">
        <v>0.0</v>
      </c>
      <c r="AC32" s="2">
        <v>2.0</v>
      </c>
      <c r="AD32" s="3">
        <v>0.0</v>
      </c>
      <c r="AE32" s="3">
        <v>0.0</v>
      </c>
      <c r="AF32" s="3">
        <v>0.0</v>
      </c>
      <c r="AG32" s="3">
        <v>0.0</v>
      </c>
      <c r="AH32" s="3">
        <v>1.0</v>
      </c>
    </row>
    <row r="33">
      <c r="A33" s="2" t="s">
        <v>3</v>
      </c>
      <c r="B33" s="3">
        <f>IFERROR(__xludf.DUMMYFUNCTION("split(A33,""{,}"")"),1.0)</f>
        <v>1</v>
      </c>
      <c r="C33" s="3">
        <f>IFERROR(__xludf.DUMMYFUNCTION("""COMPUTED_VALUE"""),1.0)</f>
        <v>1</v>
      </c>
      <c r="D33" s="3">
        <f>IFERROR(__xludf.DUMMYFUNCTION("""COMPUTED_VALUE"""),1.0)</f>
        <v>1</v>
      </c>
      <c r="E33" s="3">
        <f>IFERROR(__xludf.DUMMYFUNCTION("""COMPUTED_VALUE"""),1.0)</f>
        <v>1</v>
      </c>
      <c r="F33" s="3">
        <f>IFERROR(__xludf.DUMMYFUNCTION("""COMPUTED_VALUE"""),1.0)</f>
        <v>1</v>
      </c>
      <c r="G33" s="3">
        <f>IFERROR(__xludf.DUMMYFUNCTION("""COMPUTED_VALUE"""),1.0)</f>
        <v>1</v>
      </c>
      <c r="H33" s="3">
        <f>IFERROR(__xludf.DUMMYFUNCTION("""COMPUTED_VALUE"""),1.0)</f>
        <v>1</v>
      </c>
      <c r="I33" s="3">
        <f>IFERROR(__xludf.DUMMYFUNCTION("""COMPUTED_VALUE"""),1.0)</f>
        <v>1</v>
      </c>
      <c r="J33" s="3">
        <f>IFERROR(__xludf.DUMMYFUNCTION("""COMPUTED_VALUE"""),1.0)</f>
        <v>1</v>
      </c>
      <c r="K33" s="3">
        <f>IFERROR(__xludf.DUMMYFUNCTION("""COMPUTED_VALUE"""),1.0)</f>
        <v>1</v>
      </c>
      <c r="L33" s="3">
        <f>IFERROR(__xludf.DUMMYFUNCTION("""COMPUTED_VALUE"""),1.0)</f>
        <v>1</v>
      </c>
      <c r="M33" s="3">
        <f>IFERROR(__xludf.DUMMYFUNCTION("""COMPUTED_VALUE"""),1.0)</f>
        <v>1</v>
      </c>
      <c r="N33" s="3">
        <f>IFERROR(__xludf.DUMMYFUNCTION("""COMPUTED_VALUE"""),1.0)</f>
        <v>1</v>
      </c>
      <c r="O33" s="3">
        <f>IFERROR(__xludf.DUMMYFUNCTION("""COMPUTED_VALUE"""),1.0)</f>
        <v>1</v>
      </c>
      <c r="P33" s="3">
        <f>IFERROR(__xludf.DUMMYFUNCTION("""COMPUTED_VALUE"""),1.0)</f>
        <v>1</v>
      </c>
      <c r="Q33" s="3">
        <f>IFERROR(__xludf.DUMMYFUNCTION("""COMPUTED_VALUE"""),1.0)</f>
        <v>1</v>
      </c>
      <c r="S33" s="3">
        <v>1.0</v>
      </c>
      <c r="T33" s="3">
        <v>1.0</v>
      </c>
      <c r="U33" s="3">
        <v>1.0</v>
      </c>
      <c r="V33" s="3">
        <v>1.0</v>
      </c>
      <c r="W33" s="3">
        <v>1.0</v>
      </c>
      <c r="X33" s="3">
        <v>1.0</v>
      </c>
      <c r="Y33" s="3">
        <v>1.0</v>
      </c>
      <c r="Z33" s="3">
        <v>1.0</v>
      </c>
      <c r="AA33" s="3">
        <v>1.0</v>
      </c>
      <c r="AB33" s="3">
        <v>1.0</v>
      </c>
      <c r="AC33" s="3">
        <v>1.0</v>
      </c>
      <c r="AD33" s="3">
        <v>1.0</v>
      </c>
      <c r="AE33" s="3">
        <v>1.0</v>
      </c>
      <c r="AF33" s="3">
        <v>1.0</v>
      </c>
      <c r="AG33" s="3">
        <v>1.0</v>
      </c>
      <c r="AH33" s="3">
        <v>1.0</v>
      </c>
    </row>
    <row r="35">
      <c r="A35" s="2">
        <v>2.2</v>
      </c>
    </row>
    <row r="36">
      <c r="A36" s="2" t="s">
        <v>3</v>
      </c>
      <c r="B36" s="3">
        <f>IFERROR(__xludf.DUMMYFUNCTION("split(A36,""{,}"")"),1.0)</f>
        <v>1</v>
      </c>
      <c r="C36" s="3">
        <f>IFERROR(__xludf.DUMMYFUNCTION("""COMPUTED_VALUE"""),1.0)</f>
        <v>1</v>
      </c>
      <c r="D36" s="3">
        <f>IFERROR(__xludf.DUMMYFUNCTION("""COMPUTED_VALUE"""),1.0)</f>
        <v>1</v>
      </c>
      <c r="E36" s="3">
        <f>IFERROR(__xludf.DUMMYFUNCTION("""COMPUTED_VALUE"""),1.0)</f>
        <v>1</v>
      </c>
      <c r="F36" s="3">
        <f>IFERROR(__xludf.DUMMYFUNCTION("""COMPUTED_VALUE"""),1.0)</f>
        <v>1</v>
      </c>
      <c r="G36" s="3">
        <f>IFERROR(__xludf.DUMMYFUNCTION("""COMPUTED_VALUE"""),1.0)</f>
        <v>1</v>
      </c>
      <c r="H36" s="3">
        <f>IFERROR(__xludf.DUMMYFUNCTION("""COMPUTED_VALUE"""),1.0)</f>
        <v>1</v>
      </c>
      <c r="I36" s="3">
        <f>IFERROR(__xludf.DUMMYFUNCTION("""COMPUTED_VALUE"""),1.0)</f>
        <v>1</v>
      </c>
      <c r="J36" s="3">
        <f>IFERROR(__xludf.DUMMYFUNCTION("""COMPUTED_VALUE"""),1.0)</f>
        <v>1</v>
      </c>
      <c r="K36" s="3">
        <f>IFERROR(__xludf.DUMMYFUNCTION("""COMPUTED_VALUE"""),1.0)</f>
        <v>1</v>
      </c>
      <c r="L36" s="3">
        <f>IFERROR(__xludf.DUMMYFUNCTION("""COMPUTED_VALUE"""),1.0)</f>
        <v>1</v>
      </c>
      <c r="M36" s="3">
        <f>IFERROR(__xludf.DUMMYFUNCTION("""COMPUTED_VALUE"""),1.0)</f>
        <v>1</v>
      </c>
      <c r="N36" s="3">
        <f>IFERROR(__xludf.DUMMYFUNCTION("""COMPUTED_VALUE"""),1.0)</f>
        <v>1</v>
      </c>
      <c r="O36" s="3">
        <f>IFERROR(__xludf.DUMMYFUNCTION("""COMPUTED_VALUE"""),1.0)</f>
        <v>1</v>
      </c>
      <c r="P36" s="3">
        <f>IFERROR(__xludf.DUMMYFUNCTION("""COMPUTED_VALUE"""),1.0)</f>
        <v>1</v>
      </c>
      <c r="Q36" s="3">
        <f>IFERROR(__xludf.DUMMYFUNCTION("""COMPUTED_VALUE"""),1.0)</f>
        <v>1</v>
      </c>
      <c r="S36" s="3">
        <v>1.0</v>
      </c>
      <c r="T36" s="3">
        <v>1.0</v>
      </c>
      <c r="U36" s="3">
        <v>1.0</v>
      </c>
      <c r="V36" s="3">
        <v>1.0</v>
      </c>
      <c r="W36" s="3">
        <v>1.0</v>
      </c>
      <c r="X36" s="3">
        <v>1.0</v>
      </c>
      <c r="Y36" s="3">
        <v>1.0</v>
      </c>
      <c r="Z36" s="3">
        <v>1.0</v>
      </c>
      <c r="AA36" s="3">
        <v>1.0</v>
      </c>
      <c r="AB36" s="3">
        <v>1.0</v>
      </c>
      <c r="AC36" s="3">
        <v>1.0</v>
      </c>
      <c r="AD36" s="3">
        <v>1.0</v>
      </c>
      <c r="AE36" s="3">
        <v>1.0</v>
      </c>
      <c r="AF36" s="3">
        <v>1.0</v>
      </c>
      <c r="AG36" s="3">
        <v>1.0</v>
      </c>
      <c r="AH36" s="3">
        <v>1.0</v>
      </c>
    </row>
    <row r="37">
      <c r="A37" s="2" t="s">
        <v>11</v>
      </c>
      <c r="B37" s="3">
        <f>IFERROR(__xludf.DUMMYFUNCTION("split(A37,""{,}"")"),1.0)</f>
        <v>1</v>
      </c>
      <c r="C37" s="3">
        <f>IFERROR(__xludf.DUMMYFUNCTION("""COMPUTED_VALUE"""),0.0)</f>
        <v>0</v>
      </c>
      <c r="D37" s="3">
        <f>IFERROR(__xludf.DUMMYFUNCTION("""COMPUTED_VALUE"""),0.0)</f>
        <v>0</v>
      </c>
      <c r="E37" s="3">
        <f>IFERROR(__xludf.DUMMYFUNCTION("""COMPUTED_VALUE"""),1.0)</f>
        <v>1</v>
      </c>
      <c r="F37" s="3">
        <f>IFERROR(__xludf.DUMMYFUNCTION("""COMPUTED_VALUE"""),1.0)</f>
        <v>1</v>
      </c>
      <c r="G37" s="3">
        <f>IFERROR(__xludf.DUMMYFUNCTION("""COMPUTED_VALUE"""),0.0)</f>
        <v>0</v>
      </c>
      <c r="H37" s="3">
        <f>IFERROR(__xludf.DUMMYFUNCTION("""COMPUTED_VALUE"""),0.0)</f>
        <v>0</v>
      </c>
      <c r="I37" s="3">
        <f>IFERROR(__xludf.DUMMYFUNCTION("""COMPUTED_VALUE"""),0.0)</f>
        <v>0</v>
      </c>
      <c r="J37" s="3">
        <f>IFERROR(__xludf.DUMMYFUNCTION("""COMPUTED_VALUE"""),0.0)</f>
        <v>0</v>
      </c>
      <c r="K37" s="3">
        <f>IFERROR(__xludf.DUMMYFUNCTION("""COMPUTED_VALUE"""),0.0)</f>
        <v>0</v>
      </c>
      <c r="L37" s="3">
        <f>IFERROR(__xludf.DUMMYFUNCTION("""COMPUTED_VALUE"""),0.0)</f>
        <v>0</v>
      </c>
      <c r="M37" s="3">
        <f>IFERROR(__xludf.DUMMYFUNCTION("""COMPUTED_VALUE"""),0.0)</f>
        <v>0</v>
      </c>
      <c r="N37" s="3">
        <f>IFERROR(__xludf.DUMMYFUNCTION("""COMPUTED_VALUE"""),0.0)</f>
        <v>0</v>
      </c>
      <c r="O37" s="3">
        <f>IFERROR(__xludf.DUMMYFUNCTION("""COMPUTED_VALUE"""),0.0)</f>
        <v>0</v>
      </c>
      <c r="P37" s="3">
        <f>IFERROR(__xludf.DUMMYFUNCTION("""COMPUTED_VALUE"""),0.0)</f>
        <v>0</v>
      </c>
      <c r="Q37" s="3">
        <f>IFERROR(__xludf.DUMMYFUNCTION("""COMPUTED_VALUE"""),1.0)</f>
        <v>1</v>
      </c>
      <c r="S37" s="3">
        <v>1.0</v>
      </c>
      <c r="T37" s="2">
        <v>4.0</v>
      </c>
      <c r="U37" s="2">
        <v>4.0</v>
      </c>
      <c r="V37" s="3">
        <v>1.0</v>
      </c>
      <c r="W37" s="3">
        <v>1.0</v>
      </c>
      <c r="X37" s="3">
        <v>0.0</v>
      </c>
      <c r="Y37" s="2">
        <v>4.0</v>
      </c>
      <c r="Z37" s="3">
        <v>0.0</v>
      </c>
      <c r="AA37" s="3">
        <v>0.0</v>
      </c>
      <c r="AB37" s="3">
        <v>0.0</v>
      </c>
      <c r="AC37" s="3">
        <v>0.0</v>
      </c>
      <c r="AD37" s="3">
        <v>0.0</v>
      </c>
      <c r="AE37" s="3">
        <v>0.0</v>
      </c>
      <c r="AF37" s="3">
        <v>0.0</v>
      </c>
      <c r="AG37" s="3">
        <v>0.0</v>
      </c>
      <c r="AH37" s="3">
        <v>1.0</v>
      </c>
    </row>
    <row r="38">
      <c r="A38" s="2" t="s">
        <v>25</v>
      </c>
      <c r="B38" s="3">
        <f>IFERROR(__xludf.DUMMYFUNCTION("split(A38,""{,}"")"),1.0)</f>
        <v>1</v>
      </c>
      <c r="C38" s="3">
        <f>IFERROR(__xludf.DUMMYFUNCTION("""COMPUTED_VALUE"""),1.0)</f>
        <v>1</v>
      </c>
      <c r="D38" s="3">
        <f>IFERROR(__xludf.DUMMYFUNCTION("""COMPUTED_VALUE"""),1.0)</f>
        <v>1</v>
      </c>
      <c r="E38" s="3">
        <f>IFERROR(__xludf.DUMMYFUNCTION("""COMPUTED_VALUE"""),0.0)</f>
        <v>0</v>
      </c>
      <c r="F38" s="3">
        <f>IFERROR(__xludf.DUMMYFUNCTION("""COMPUTED_VALUE"""),1.0)</f>
        <v>1</v>
      </c>
      <c r="G38" s="3">
        <f>IFERROR(__xludf.DUMMYFUNCTION("""COMPUTED_VALUE"""),0.0)</f>
        <v>0</v>
      </c>
      <c r="H38" s="3">
        <f>IFERROR(__xludf.DUMMYFUNCTION("""COMPUTED_VALUE"""),1.0)</f>
        <v>1</v>
      </c>
      <c r="I38" s="3">
        <f>IFERROR(__xludf.DUMMYFUNCTION("""COMPUTED_VALUE"""),1.0)</f>
        <v>1</v>
      </c>
      <c r="J38" s="3">
        <f>IFERROR(__xludf.DUMMYFUNCTION("""COMPUTED_VALUE"""),0.0)</f>
        <v>0</v>
      </c>
      <c r="K38" s="3">
        <f>IFERROR(__xludf.DUMMYFUNCTION("""COMPUTED_VALUE"""),1.0)</f>
        <v>1</v>
      </c>
      <c r="L38" s="3">
        <f>IFERROR(__xludf.DUMMYFUNCTION("""COMPUTED_VALUE"""),1.0)</f>
        <v>1</v>
      </c>
      <c r="M38" s="3">
        <f>IFERROR(__xludf.DUMMYFUNCTION("""COMPUTED_VALUE"""),1.0)</f>
        <v>1</v>
      </c>
      <c r="N38" s="3">
        <f>IFERROR(__xludf.DUMMYFUNCTION("""COMPUTED_VALUE"""),0.0)</f>
        <v>0</v>
      </c>
      <c r="O38" s="3">
        <f>IFERROR(__xludf.DUMMYFUNCTION("""COMPUTED_VALUE"""),1.0)</f>
        <v>1</v>
      </c>
      <c r="P38" s="3">
        <f>IFERROR(__xludf.DUMMYFUNCTION("""COMPUTED_VALUE"""),5.0)</f>
        <v>5</v>
      </c>
      <c r="Q38" s="3">
        <f>IFERROR(__xludf.DUMMYFUNCTION("""COMPUTED_VALUE"""),1.0)</f>
        <v>1</v>
      </c>
      <c r="S38" s="3">
        <v>1.0</v>
      </c>
      <c r="T38" s="3">
        <v>1.0</v>
      </c>
      <c r="U38" s="3">
        <v>1.0</v>
      </c>
      <c r="V38" s="2">
        <v>5.0</v>
      </c>
      <c r="W38" s="3">
        <v>1.0</v>
      </c>
      <c r="X38" s="3">
        <v>0.0</v>
      </c>
      <c r="Y38" s="3">
        <v>1.0</v>
      </c>
      <c r="Z38" s="3">
        <v>1.0</v>
      </c>
      <c r="AA38" s="3">
        <v>0.0</v>
      </c>
      <c r="AB38" s="3">
        <v>1.0</v>
      </c>
      <c r="AC38" s="3">
        <v>1.0</v>
      </c>
      <c r="AD38" s="3">
        <v>1.0</v>
      </c>
      <c r="AE38" s="3">
        <v>0.0</v>
      </c>
      <c r="AF38" s="3">
        <v>1.0</v>
      </c>
      <c r="AG38" s="3">
        <v>5.0</v>
      </c>
      <c r="AH38" s="3">
        <v>1.0</v>
      </c>
    </row>
    <row r="39">
      <c r="A39" s="2" t="s">
        <v>26</v>
      </c>
      <c r="B39" s="3">
        <f>IFERROR(__xludf.DUMMYFUNCTION("split(A39,""{,}"")"),1.0)</f>
        <v>1</v>
      </c>
      <c r="C39" s="3">
        <f>IFERROR(__xludf.DUMMYFUNCTION("""COMPUTED_VALUE"""),0.0)</f>
        <v>0</v>
      </c>
      <c r="D39" s="3">
        <f>IFERROR(__xludf.DUMMYFUNCTION("""COMPUTED_VALUE"""),0.0)</f>
        <v>0</v>
      </c>
      <c r="E39" s="3">
        <f>IFERROR(__xludf.DUMMYFUNCTION("""COMPUTED_VALUE"""),0.0)</f>
        <v>0</v>
      </c>
      <c r="F39" s="3">
        <f>IFERROR(__xludf.DUMMYFUNCTION("""COMPUTED_VALUE"""),1.0)</f>
        <v>1</v>
      </c>
      <c r="G39" s="3">
        <f>IFERROR(__xludf.DUMMYFUNCTION("""COMPUTED_VALUE"""),0.0)</f>
        <v>0</v>
      </c>
      <c r="H39" s="3">
        <f>IFERROR(__xludf.DUMMYFUNCTION("""COMPUTED_VALUE"""),0.0)</f>
        <v>0</v>
      </c>
      <c r="I39" s="3">
        <f>IFERROR(__xludf.DUMMYFUNCTION("""COMPUTED_VALUE"""),1.0)</f>
        <v>1</v>
      </c>
      <c r="J39" s="3">
        <f>IFERROR(__xludf.DUMMYFUNCTION("""COMPUTED_VALUE"""),0.0)</f>
        <v>0</v>
      </c>
      <c r="K39" s="3">
        <f>IFERROR(__xludf.DUMMYFUNCTION("""COMPUTED_VALUE"""),0.0)</f>
        <v>0</v>
      </c>
      <c r="L39" s="3">
        <f>IFERROR(__xludf.DUMMYFUNCTION("""COMPUTED_VALUE"""),0.0)</f>
        <v>0</v>
      </c>
      <c r="M39" s="3">
        <f>IFERROR(__xludf.DUMMYFUNCTION("""COMPUTED_VALUE"""),0.0)</f>
        <v>0</v>
      </c>
      <c r="N39" s="3">
        <f>IFERROR(__xludf.DUMMYFUNCTION("""COMPUTED_VALUE"""),0.0)</f>
        <v>0</v>
      </c>
      <c r="O39" s="3">
        <f>IFERROR(__xludf.DUMMYFUNCTION("""COMPUTED_VALUE"""),0.0)</f>
        <v>0</v>
      </c>
      <c r="P39" s="3">
        <f>IFERROR(__xludf.DUMMYFUNCTION("""COMPUTED_VALUE"""),0.0)</f>
        <v>0</v>
      </c>
      <c r="Q39" s="3">
        <f>IFERROR(__xludf.DUMMYFUNCTION("""COMPUTED_VALUE"""),1.0)</f>
        <v>1</v>
      </c>
      <c r="S39" s="3">
        <v>1.0</v>
      </c>
      <c r="T39" s="2">
        <v>0.0</v>
      </c>
      <c r="U39" s="3">
        <v>0.0</v>
      </c>
      <c r="V39" s="3">
        <v>0.0</v>
      </c>
      <c r="W39" s="3">
        <v>1.0</v>
      </c>
      <c r="X39" s="3">
        <v>0.0</v>
      </c>
      <c r="Y39" s="3">
        <v>0.0</v>
      </c>
      <c r="Z39" s="3">
        <v>1.0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1.0</v>
      </c>
    </row>
    <row r="40">
      <c r="A40" s="2" t="s">
        <v>14</v>
      </c>
      <c r="B40" s="3">
        <f>IFERROR(__xludf.DUMMYFUNCTION("split(A40,""{,}"")"),1.0)</f>
        <v>1</v>
      </c>
      <c r="C40" s="3">
        <f>IFERROR(__xludf.DUMMYFUNCTION("""COMPUTED_VALUE"""),0.0)</f>
        <v>0</v>
      </c>
      <c r="D40" s="3">
        <f>IFERROR(__xludf.DUMMYFUNCTION("""COMPUTED_VALUE"""),1.0)</f>
        <v>1</v>
      </c>
      <c r="E40" s="3">
        <f>IFERROR(__xludf.DUMMYFUNCTION("""COMPUTED_VALUE"""),0.0)</f>
        <v>0</v>
      </c>
      <c r="F40" s="3">
        <f>IFERROR(__xludf.DUMMYFUNCTION("""COMPUTED_VALUE"""),1.0)</f>
        <v>1</v>
      </c>
      <c r="G40" s="3">
        <f>IFERROR(__xludf.DUMMYFUNCTION("""COMPUTED_VALUE"""),1.0)</f>
        <v>1</v>
      </c>
      <c r="H40" s="3">
        <f>IFERROR(__xludf.DUMMYFUNCTION("""COMPUTED_VALUE"""),0.0)</f>
        <v>0</v>
      </c>
      <c r="I40" s="3">
        <f>IFERROR(__xludf.DUMMYFUNCTION("""COMPUTED_VALUE"""),1.0)</f>
        <v>1</v>
      </c>
      <c r="J40" s="3">
        <f>IFERROR(__xludf.DUMMYFUNCTION("""COMPUTED_VALUE"""),1.0)</f>
        <v>1</v>
      </c>
      <c r="K40" s="3">
        <f>IFERROR(__xludf.DUMMYFUNCTION("""COMPUTED_VALUE"""),0.0)</f>
        <v>0</v>
      </c>
      <c r="L40" s="3">
        <f>IFERROR(__xludf.DUMMYFUNCTION("""COMPUTED_VALUE"""),1.0)</f>
        <v>1</v>
      </c>
      <c r="M40" s="3">
        <f>IFERROR(__xludf.DUMMYFUNCTION("""COMPUTED_VALUE"""),1.0)</f>
        <v>1</v>
      </c>
      <c r="N40" s="3">
        <f>IFERROR(__xludf.DUMMYFUNCTION("""COMPUTED_VALUE"""),0.0)</f>
        <v>0</v>
      </c>
      <c r="O40" s="3">
        <f>IFERROR(__xludf.DUMMYFUNCTION("""COMPUTED_VALUE"""),1.0)</f>
        <v>1</v>
      </c>
      <c r="P40" s="3">
        <f>IFERROR(__xludf.DUMMYFUNCTION("""COMPUTED_VALUE"""),1.0)</f>
        <v>1</v>
      </c>
      <c r="Q40" s="3">
        <f>IFERROR(__xludf.DUMMYFUNCTION("""COMPUTED_VALUE"""),1.0)</f>
        <v>1</v>
      </c>
      <c r="S40" s="3">
        <v>1.0</v>
      </c>
      <c r="T40" s="3">
        <v>0.0</v>
      </c>
      <c r="U40" s="3">
        <v>1.0</v>
      </c>
      <c r="V40" s="3">
        <v>0.0</v>
      </c>
      <c r="W40" s="3">
        <v>1.0</v>
      </c>
      <c r="X40" s="3">
        <v>1.0</v>
      </c>
      <c r="Y40" s="3">
        <v>0.0</v>
      </c>
      <c r="Z40" s="3">
        <v>1.0</v>
      </c>
      <c r="AA40" s="3">
        <v>1.0</v>
      </c>
      <c r="AB40" s="3">
        <v>0.0</v>
      </c>
      <c r="AC40" s="3">
        <v>1.0</v>
      </c>
      <c r="AD40" s="3">
        <v>1.0</v>
      </c>
      <c r="AE40" s="3">
        <v>0.0</v>
      </c>
      <c r="AF40" s="3">
        <v>1.0</v>
      </c>
      <c r="AG40" s="3">
        <v>1.0</v>
      </c>
      <c r="AH40" s="3">
        <v>1.0</v>
      </c>
    </row>
    <row r="41">
      <c r="A41" s="2" t="s">
        <v>15</v>
      </c>
      <c r="B41" s="3">
        <f>IFERROR(__xludf.DUMMYFUNCTION("split(A41,""{,}"")"),1.0)</f>
        <v>1</v>
      </c>
      <c r="C41" s="3">
        <f>IFERROR(__xludf.DUMMYFUNCTION("""COMPUTED_VALUE"""),0.0)</f>
        <v>0</v>
      </c>
      <c r="D41" s="3">
        <f>IFERROR(__xludf.DUMMYFUNCTION("""COMPUTED_VALUE"""),1.0)</f>
        <v>1</v>
      </c>
      <c r="E41" s="3">
        <f>IFERROR(__xludf.DUMMYFUNCTION("""COMPUTED_VALUE"""),0.0)</f>
        <v>0</v>
      </c>
      <c r="F41" s="3">
        <f>IFERROR(__xludf.DUMMYFUNCTION("""COMPUTED_VALUE"""),0.0)</f>
        <v>0</v>
      </c>
      <c r="G41" s="3">
        <f>IFERROR(__xludf.DUMMYFUNCTION("""COMPUTED_VALUE"""),0.0)</f>
        <v>0</v>
      </c>
      <c r="H41" s="3">
        <f>IFERROR(__xludf.DUMMYFUNCTION("""COMPUTED_VALUE"""),0.0)</f>
        <v>0</v>
      </c>
      <c r="I41" s="3">
        <f>IFERROR(__xludf.DUMMYFUNCTION("""COMPUTED_VALUE"""),0.0)</f>
        <v>0</v>
      </c>
      <c r="J41" s="3">
        <f>IFERROR(__xludf.DUMMYFUNCTION("""COMPUTED_VALUE"""),0.0)</f>
        <v>0</v>
      </c>
      <c r="K41" s="3">
        <f>IFERROR(__xludf.DUMMYFUNCTION("""COMPUTED_VALUE"""),0.0)</f>
        <v>0</v>
      </c>
      <c r="L41" s="3">
        <f>IFERROR(__xludf.DUMMYFUNCTION("""COMPUTED_VALUE"""),0.0)</f>
        <v>0</v>
      </c>
      <c r="M41" s="3">
        <f>IFERROR(__xludf.DUMMYFUNCTION("""COMPUTED_VALUE"""),0.0)</f>
        <v>0</v>
      </c>
      <c r="N41" s="3">
        <f>IFERROR(__xludf.DUMMYFUNCTION("""COMPUTED_VALUE"""),0.0)</f>
        <v>0</v>
      </c>
      <c r="O41" s="3">
        <f>IFERROR(__xludf.DUMMYFUNCTION("""COMPUTED_VALUE"""),0.0)</f>
        <v>0</v>
      </c>
      <c r="P41" s="3">
        <f>IFERROR(__xludf.DUMMYFUNCTION("""COMPUTED_VALUE"""),0.0)</f>
        <v>0</v>
      </c>
      <c r="Q41" s="3">
        <f>IFERROR(__xludf.DUMMYFUNCTION("""COMPUTED_VALUE"""),1.0)</f>
        <v>1</v>
      </c>
      <c r="S41" s="3">
        <v>1.0</v>
      </c>
      <c r="T41" s="3">
        <v>0.0</v>
      </c>
      <c r="U41" s="3">
        <v>1.0</v>
      </c>
      <c r="V41" s="3">
        <v>0.0</v>
      </c>
      <c r="W41" s="3">
        <v>0.0</v>
      </c>
      <c r="X41" s="3">
        <v>0.0</v>
      </c>
      <c r="Y41" s="3">
        <v>0.0</v>
      </c>
      <c r="Z41" s="3">
        <v>0.0</v>
      </c>
      <c r="AA41" s="3">
        <v>0.0</v>
      </c>
      <c r="AB41" s="3">
        <v>0.0</v>
      </c>
      <c r="AC41" s="3">
        <v>0.0</v>
      </c>
      <c r="AD41" s="2">
        <v>5.0</v>
      </c>
      <c r="AE41" s="3">
        <v>0.0</v>
      </c>
      <c r="AF41" s="3">
        <v>0.0</v>
      </c>
      <c r="AG41" s="3">
        <v>0.0</v>
      </c>
      <c r="AH41" s="3">
        <v>1.0</v>
      </c>
    </row>
    <row r="42">
      <c r="A42" s="2" t="s">
        <v>16</v>
      </c>
      <c r="B42" s="3">
        <f>IFERROR(__xludf.DUMMYFUNCTION("split(A42,""{,}"")"),1.0)</f>
        <v>1</v>
      </c>
      <c r="C42" s="3">
        <f>IFERROR(__xludf.DUMMYFUNCTION("""COMPUTED_VALUE"""),0.0)</f>
        <v>0</v>
      </c>
      <c r="D42" s="3">
        <f>IFERROR(__xludf.DUMMYFUNCTION("""COMPUTED_VALUE"""),1.0)</f>
        <v>1</v>
      </c>
      <c r="E42" s="3">
        <f>IFERROR(__xludf.DUMMYFUNCTION("""COMPUTED_VALUE"""),1.0)</f>
        <v>1</v>
      </c>
      <c r="F42" s="3">
        <f>IFERROR(__xludf.DUMMYFUNCTION("""COMPUTED_VALUE"""),0.0)</f>
        <v>0</v>
      </c>
      <c r="G42" s="3">
        <f>IFERROR(__xludf.DUMMYFUNCTION("""COMPUTED_VALUE"""),1.0)</f>
        <v>1</v>
      </c>
      <c r="H42" s="3">
        <f>IFERROR(__xludf.DUMMYFUNCTION("""COMPUTED_VALUE"""),1.0)</f>
        <v>1</v>
      </c>
      <c r="I42" s="3">
        <f>IFERROR(__xludf.DUMMYFUNCTION("""COMPUTED_VALUE"""),0.0)</f>
        <v>0</v>
      </c>
      <c r="J42" s="3">
        <f>IFERROR(__xludf.DUMMYFUNCTION("""COMPUTED_VALUE"""),1.0)</f>
        <v>1</v>
      </c>
      <c r="K42" s="3">
        <f>IFERROR(__xludf.DUMMYFUNCTION("""COMPUTED_VALUE"""),1.0)</f>
        <v>1</v>
      </c>
      <c r="L42" s="3">
        <f>IFERROR(__xludf.DUMMYFUNCTION("""COMPUTED_VALUE"""),0.0)</f>
        <v>0</v>
      </c>
      <c r="M42" s="3">
        <f>IFERROR(__xludf.DUMMYFUNCTION("""COMPUTED_VALUE"""),1.0)</f>
        <v>1</v>
      </c>
      <c r="N42" s="3">
        <f>IFERROR(__xludf.DUMMYFUNCTION("""COMPUTED_VALUE"""),1.0)</f>
        <v>1</v>
      </c>
      <c r="O42" s="3">
        <f>IFERROR(__xludf.DUMMYFUNCTION("""COMPUTED_VALUE"""),0.0)</f>
        <v>0</v>
      </c>
      <c r="P42" s="3">
        <f>IFERROR(__xludf.DUMMYFUNCTION("""COMPUTED_VALUE"""),1.0)</f>
        <v>1</v>
      </c>
      <c r="Q42" s="3">
        <f>IFERROR(__xludf.DUMMYFUNCTION("""COMPUTED_VALUE"""),1.0)</f>
        <v>1</v>
      </c>
      <c r="S42" s="3">
        <v>1.0</v>
      </c>
      <c r="T42" s="2">
        <v>6.0</v>
      </c>
      <c r="U42" s="3">
        <v>1.0</v>
      </c>
      <c r="V42" s="3">
        <v>1.0</v>
      </c>
      <c r="W42" s="3">
        <v>0.0</v>
      </c>
      <c r="X42" s="3">
        <v>1.0</v>
      </c>
      <c r="Y42" s="3">
        <v>1.0</v>
      </c>
      <c r="Z42" s="2">
        <v>5.0</v>
      </c>
      <c r="AA42" s="3">
        <v>1.0</v>
      </c>
      <c r="AB42" s="3">
        <v>1.0</v>
      </c>
      <c r="AC42" s="3">
        <v>0.0</v>
      </c>
      <c r="AD42" s="3">
        <v>1.0</v>
      </c>
      <c r="AE42" s="3">
        <v>1.0</v>
      </c>
      <c r="AF42" s="3">
        <v>0.0</v>
      </c>
      <c r="AG42" s="3">
        <v>1.0</v>
      </c>
      <c r="AH42" s="3">
        <v>1.0</v>
      </c>
    </row>
    <row r="43">
      <c r="A43" s="2" t="s">
        <v>17</v>
      </c>
      <c r="B43" s="3">
        <f>IFERROR(__xludf.DUMMYFUNCTION("split(A43,""{,}"")"),1.0)</f>
        <v>1</v>
      </c>
      <c r="C43" s="3">
        <f>IFERROR(__xludf.DUMMYFUNCTION("""COMPUTED_VALUE"""),6.0)</f>
        <v>6</v>
      </c>
      <c r="D43" s="3">
        <f>IFERROR(__xludf.DUMMYFUNCTION("""COMPUTED_VALUE"""),0.0)</f>
        <v>0</v>
      </c>
      <c r="E43" s="3">
        <f>IFERROR(__xludf.DUMMYFUNCTION("""COMPUTED_VALUE"""),0.0)</f>
        <v>0</v>
      </c>
      <c r="F43" s="3">
        <f>IFERROR(__xludf.DUMMYFUNCTION("""COMPUTED_VALUE"""),0.0)</f>
        <v>0</v>
      </c>
      <c r="G43" s="3">
        <f>IFERROR(__xludf.DUMMYFUNCTION("""COMPUTED_VALUE"""),0.0)</f>
        <v>0</v>
      </c>
      <c r="H43" s="3">
        <f>IFERROR(__xludf.DUMMYFUNCTION("""COMPUTED_VALUE"""),0.0)</f>
        <v>0</v>
      </c>
      <c r="I43" s="3">
        <f>IFERROR(__xludf.DUMMYFUNCTION("""COMPUTED_VALUE"""),0.0)</f>
        <v>0</v>
      </c>
      <c r="J43" s="3">
        <f>IFERROR(__xludf.DUMMYFUNCTION("""COMPUTED_VALUE"""),0.0)</f>
        <v>0</v>
      </c>
      <c r="K43" s="3">
        <f>IFERROR(__xludf.DUMMYFUNCTION("""COMPUTED_VALUE"""),0.0)</f>
        <v>0</v>
      </c>
      <c r="L43" s="3">
        <f>IFERROR(__xludf.DUMMYFUNCTION("""COMPUTED_VALUE"""),0.0)</f>
        <v>0</v>
      </c>
      <c r="M43" s="3">
        <f>IFERROR(__xludf.DUMMYFUNCTION("""COMPUTED_VALUE"""),0.0)</f>
        <v>0</v>
      </c>
      <c r="N43" s="3">
        <f>IFERROR(__xludf.DUMMYFUNCTION("""COMPUTED_VALUE"""),0.0)</f>
        <v>0</v>
      </c>
      <c r="O43" s="3">
        <f>IFERROR(__xludf.DUMMYFUNCTION("""COMPUTED_VALUE"""),0.0)</f>
        <v>0</v>
      </c>
      <c r="P43" s="3">
        <f>IFERROR(__xludf.DUMMYFUNCTION("""COMPUTED_VALUE"""),3.0)</f>
        <v>3</v>
      </c>
      <c r="Q43" s="3">
        <f>IFERROR(__xludf.DUMMYFUNCTION("""COMPUTED_VALUE"""),1.0)</f>
        <v>1</v>
      </c>
      <c r="S43" s="3">
        <v>1.0</v>
      </c>
      <c r="T43" s="2">
        <v>0.0</v>
      </c>
      <c r="U43" s="3">
        <v>0.0</v>
      </c>
      <c r="V43" s="3">
        <v>0.0</v>
      </c>
      <c r="W43" s="3">
        <v>0.0</v>
      </c>
      <c r="X43" s="3">
        <v>0.0</v>
      </c>
      <c r="Y43" s="3">
        <v>0.0</v>
      </c>
      <c r="Z43" s="3">
        <v>0.0</v>
      </c>
      <c r="AA43" s="3">
        <v>0.0</v>
      </c>
      <c r="AB43" s="3">
        <v>0.0</v>
      </c>
      <c r="AC43" s="3">
        <v>0.0</v>
      </c>
      <c r="AD43" s="3">
        <v>0.0</v>
      </c>
      <c r="AE43" s="3">
        <v>0.0</v>
      </c>
      <c r="AF43" s="3">
        <v>0.0</v>
      </c>
      <c r="AG43" s="3">
        <v>3.0</v>
      </c>
      <c r="AH43" s="3">
        <v>1.0</v>
      </c>
    </row>
    <row r="44">
      <c r="A44" s="2" t="s">
        <v>3</v>
      </c>
      <c r="B44" s="3">
        <f>IFERROR(__xludf.DUMMYFUNCTION("split(A44,""{,}"")"),1.0)</f>
        <v>1</v>
      </c>
      <c r="C44" s="3">
        <f>IFERROR(__xludf.DUMMYFUNCTION("""COMPUTED_VALUE"""),1.0)</f>
        <v>1</v>
      </c>
      <c r="D44" s="3">
        <f>IFERROR(__xludf.DUMMYFUNCTION("""COMPUTED_VALUE"""),1.0)</f>
        <v>1</v>
      </c>
      <c r="E44" s="3">
        <f>IFERROR(__xludf.DUMMYFUNCTION("""COMPUTED_VALUE"""),1.0)</f>
        <v>1</v>
      </c>
      <c r="F44" s="3">
        <f>IFERROR(__xludf.DUMMYFUNCTION("""COMPUTED_VALUE"""),1.0)</f>
        <v>1</v>
      </c>
      <c r="G44" s="3">
        <f>IFERROR(__xludf.DUMMYFUNCTION("""COMPUTED_VALUE"""),1.0)</f>
        <v>1</v>
      </c>
      <c r="H44" s="3">
        <f>IFERROR(__xludf.DUMMYFUNCTION("""COMPUTED_VALUE"""),1.0)</f>
        <v>1</v>
      </c>
      <c r="I44" s="3">
        <f>IFERROR(__xludf.DUMMYFUNCTION("""COMPUTED_VALUE"""),1.0)</f>
        <v>1</v>
      </c>
      <c r="J44" s="3">
        <f>IFERROR(__xludf.DUMMYFUNCTION("""COMPUTED_VALUE"""),1.0)</f>
        <v>1</v>
      </c>
      <c r="K44" s="3">
        <f>IFERROR(__xludf.DUMMYFUNCTION("""COMPUTED_VALUE"""),1.0)</f>
        <v>1</v>
      </c>
      <c r="L44" s="3">
        <f>IFERROR(__xludf.DUMMYFUNCTION("""COMPUTED_VALUE"""),1.0)</f>
        <v>1</v>
      </c>
      <c r="M44" s="3">
        <f>IFERROR(__xludf.DUMMYFUNCTION("""COMPUTED_VALUE"""),1.0)</f>
        <v>1</v>
      </c>
      <c r="N44" s="3">
        <f>IFERROR(__xludf.DUMMYFUNCTION("""COMPUTED_VALUE"""),1.0)</f>
        <v>1</v>
      </c>
      <c r="O44" s="3">
        <f>IFERROR(__xludf.DUMMYFUNCTION("""COMPUTED_VALUE"""),1.0)</f>
        <v>1</v>
      </c>
      <c r="P44" s="3">
        <f>IFERROR(__xludf.DUMMYFUNCTION("""COMPUTED_VALUE"""),1.0)</f>
        <v>1</v>
      </c>
      <c r="Q44" s="3">
        <f>IFERROR(__xludf.DUMMYFUNCTION("""COMPUTED_VALUE"""),1.0)</f>
        <v>1</v>
      </c>
      <c r="S44" s="3">
        <v>1.0</v>
      </c>
      <c r="T44" s="3">
        <v>1.0</v>
      </c>
      <c r="U44" s="3">
        <v>1.0</v>
      </c>
      <c r="V44" s="3">
        <v>1.0</v>
      </c>
      <c r="W44" s="3">
        <v>1.0</v>
      </c>
      <c r="X44" s="3">
        <v>1.0</v>
      </c>
      <c r="Y44" s="3">
        <v>1.0</v>
      </c>
      <c r="Z44" s="3">
        <v>1.0</v>
      </c>
      <c r="AA44" s="3">
        <v>1.0</v>
      </c>
      <c r="AB44" s="3">
        <v>1.0</v>
      </c>
      <c r="AC44" s="3">
        <v>1.0</v>
      </c>
      <c r="AD44" s="3">
        <v>1.0</v>
      </c>
      <c r="AE44" s="3">
        <v>1.0</v>
      </c>
      <c r="AF44" s="3">
        <v>1.0</v>
      </c>
      <c r="AG44" s="3">
        <v>1.0</v>
      </c>
      <c r="AH44" s="3">
        <v>1.0</v>
      </c>
    </row>
    <row r="45">
      <c r="A45" s="2">
        <v>3.1</v>
      </c>
    </row>
    <row r="46">
      <c r="A46" s="2" t="s">
        <v>3</v>
      </c>
      <c r="B46" s="3">
        <f>IFERROR(__xludf.DUMMYFUNCTION("split(A46,""{,}"")"),1.0)</f>
        <v>1</v>
      </c>
      <c r="C46" s="3">
        <f>IFERROR(__xludf.DUMMYFUNCTION("""COMPUTED_VALUE"""),1.0)</f>
        <v>1</v>
      </c>
      <c r="D46" s="3">
        <f>IFERROR(__xludf.DUMMYFUNCTION("""COMPUTED_VALUE"""),1.0)</f>
        <v>1</v>
      </c>
      <c r="E46" s="3">
        <f>IFERROR(__xludf.DUMMYFUNCTION("""COMPUTED_VALUE"""),1.0)</f>
        <v>1</v>
      </c>
      <c r="F46" s="3">
        <f>IFERROR(__xludf.DUMMYFUNCTION("""COMPUTED_VALUE"""),1.0)</f>
        <v>1</v>
      </c>
      <c r="G46" s="3">
        <f>IFERROR(__xludf.DUMMYFUNCTION("""COMPUTED_VALUE"""),1.0)</f>
        <v>1</v>
      </c>
      <c r="H46" s="3">
        <f>IFERROR(__xludf.DUMMYFUNCTION("""COMPUTED_VALUE"""),1.0)</f>
        <v>1</v>
      </c>
      <c r="I46" s="3">
        <f>IFERROR(__xludf.DUMMYFUNCTION("""COMPUTED_VALUE"""),1.0)</f>
        <v>1</v>
      </c>
      <c r="J46" s="3">
        <f>IFERROR(__xludf.DUMMYFUNCTION("""COMPUTED_VALUE"""),1.0)</f>
        <v>1</v>
      </c>
      <c r="K46" s="3">
        <f>IFERROR(__xludf.DUMMYFUNCTION("""COMPUTED_VALUE"""),1.0)</f>
        <v>1</v>
      </c>
      <c r="L46" s="3">
        <f>IFERROR(__xludf.DUMMYFUNCTION("""COMPUTED_VALUE"""),1.0)</f>
        <v>1</v>
      </c>
      <c r="M46" s="3">
        <f>IFERROR(__xludf.DUMMYFUNCTION("""COMPUTED_VALUE"""),1.0)</f>
        <v>1</v>
      </c>
      <c r="N46" s="3">
        <f>IFERROR(__xludf.DUMMYFUNCTION("""COMPUTED_VALUE"""),1.0)</f>
        <v>1</v>
      </c>
      <c r="O46" s="3">
        <f>IFERROR(__xludf.DUMMYFUNCTION("""COMPUTED_VALUE"""),1.0)</f>
        <v>1</v>
      </c>
      <c r="P46" s="3">
        <f>IFERROR(__xludf.DUMMYFUNCTION("""COMPUTED_VALUE"""),1.0)</f>
        <v>1</v>
      </c>
      <c r="Q46" s="3">
        <f>IFERROR(__xludf.DUMMYFUNCTION("""COMPUTED_VALUE"""),1.0)</f>
        <v>1</v>
      </c>
      <c r="S46" s="3">
        <v>1.0</v>
      </c>
      <c r="T46" s="3">
        <v>1.0</v>
      </c>
      <c r="U46" s="3">
        <v>1.0</v>
      </c>
      <c r="V46" s="3">
        <v>1.0</v>
      </c>
      <c r="W46" s="3">
        <v>1.0</v>
      </c>
      <c r="X46" s="3">
        <v>1.0</v>
      </c>
      <c r="Y46" s="3">
        <v>1.0</v>
      </c>
      <c r="Z46" s="3">
        <v>1.0</v>
      </c>
      <c r="AA46" s="3">
        <v>1.0</v>
      </c>
      <c r="AB46" s="3">
        <v>1.0</v>
      </c>
      <c r="AC46" s="3">
        <v>1.0</v>
      </c>
      <c r="AD46" s="3">
        <v>1.0</v>
      </c>
      <c r="AE46" s="3">
        <v>1.0</v>
      </c>
      <c r="AF46" s="3">
        <v>1.0</v>
      </c>
      <c r="AG46" s="3">
        <v>1.0</v>
      </c>
      <c r="AH46" s="3">
        <v>1.0</v>
      </c>
    </row>
    <row r="47">
      <c r="A47" s="2" t="s">
        <v>27</v>
      </c>
      <c r="B47" s="3">
        <f>IFERROR(__xludf.DUMMYFUNCTION("split(A47,""{,}"")"),1.0)</f>
        <v>1</v>
      </c>
      <c r="C47" s="3">
        <f>IFERROR(__xludf.DUMMYFUNCTION("""COMPUTED_VALUE"""),0.0)</f>
        <v>0</v>
      </c>
      <c r="D47" s="3">
        <f>IFERROR(__xludf.DUMMYFUNCTION("""COMPUTED_VALUE"""),0.0)</f>
        <v>0</v>
      </c>
      <c r="E47" s="3">
        <f>IFERROR(__xludf.DUMMYFUNCTION("""COMPUTED_VALUE"""),0.0)</f>
        <v>0</v>
      </c>
      <c r="F47" s="3">
        <f>IFERROR(__xludf.DUMMYFUNCTION("""COMPUTED_VALUE"""),1.0)</f>
        <v>1</v>
      </c>
      <c r="G47" s="3">
        <f>IFERROR(__xludf.DUMMYFUNCTION("""COMPUTED_VALUE"""),0.0)</f>
        <v>0</v>
      </c>
      <c r="H47" s="3">
        <f>IFERROR(__xludf.DUMMYFUNCTION("""COMPUTED_VALUE"""),0.0)</f>
        <v>0</v>
      </c>
      <c r="I47" s="3">
        <f>IFERROR(__xludf.DUMMYFUNCTION("""COMPUTED_VALUE"""),0.0)</f>
        <v>0</v>
      </c>
      <c r="J47" s="3">
        <f>IFERROR(__xludf.DUMMYFUNCTION("""COMPUTED_VALUE"""),0.0)</f>
        <v>0</v>
      </c>
      <c r="K47" s="3">
        <f>IFERROR(__xludf.DUMMYFUNCTION("""COMPUTED_VALUE"""),4.0)</f>
        <v>4</v>
      </c>
      <c r="L47" s="3">
        <f>IFERROR(__xludf.DUMMYFUNCTION("""COMPUTED_VALUE"""),1.0)</f>
        <v>1</v>
      </c>
      <c r="M47" s="3">
        <f>IFERROR(__xludf.DUMMYFUNCTION("""COMPUTED_VALUE"""),0.0)</f>
        <v>0</v>
      </c>
      <c r="N47" s="3">
        <f>IFERROR(__xludf.DUMMYFUNCTION("""COMPUTED_VALUE"""),0.0)</f>
        <v>0</v>
      </c>
      <c r="O47" s="3">
        <f>IFERROR(__xludf.DUMMYFUNCTION("""COMPUTED_VALUE"""),0.0)</f>
        <v>0</v>
      </c>
      <c r="P47" s="3">
        <f>IFERROR(__xludf.DUMMYFUNCTION("""COMPUTED_VALUE"""),0.0)</f>
        <v>0</v>
      </c>
      <c r="Q47" s="3">
        <f>IFERROR(__xludf.DUMMYFUNCTION("""COMPUTED_VALUE"""),1.0)</f>
        <v>1</v>
      </c>
      <c r="S47" s="3">
        <v>1.0</v>
      </c>
      <c r="T47" s="3">
        <v>0.0</v>
      </c>
      <c r="U47" s="3">
        <v>0.0</v>
      </c>
      <c r="V47" s="2">
        <v>4.0</v>
      </c>
      <c r="W47" s="3">
        <v>1.0</v>
      </c>
      <c r="X47" s="3">
        <v>0.0</v>
      </c>
      <c r="Y47" s="3">
        <v>0.0</v>
      </c>
      <c r="Z47" s="3">
        <v>0.0</v>
      </c>
      <c r="AA47" s="3">
        <v>0.0</v>
      </c>
      <c r="AB47" s="3">
        <v>4.0</v>
      </c>
      <c r="AC47" s="3">
        <v>1.0</v>
      </c>
      <c r="AD47" s="3">
        <v>0.0</v>
      </c>
      <c r="AE47" s="3">
        <v>0.0</v>
      </c>
      <c r="AF47" s="3">
        <v>0.0</v>
      </c>
      <c r="AG47" s="3">
        <v>0.0</v>
      </c>
      <c r="AH47" s="3">
        <v>1.0</v>
      </c>
    </row>
    <row r="48">
      <c r="A48" s="2" t="s">
        <v>28</v>
      </c>
      <c r="B48" s="3">
        <f>IFERROR(__xludf.DUMMYFUNCTION("split(A48,""{,}"")"),1.0)</f>
        <v>1</v>
      </c>
      <c r="C48" s="3">
        <f>IFERROR(__xludf.DUMMYFUNCTION("""COMPUTED_VALUE"""),0.0)</f>
        <v>0</v>
      </c>
      <c r="D48" s="3">
        <f>IFERROR(__xludf.DUMMYFUNCTION("""COMPUTED_VALUE"""),1.0)</f>
        <v>1</v>
      </c>
      <c r="E48" s="3">
        <f>IFERROR(__xludf.DUMMYFUNCTION("""COMPUTED_VALUE"""),1.0)</f>
        <v>1</v>
      </c>
      <c r="F48" s="3">
        <f>IFERROR(__xludf.DUMMYFUNCTION("""COMPUTED_VALUE"""),1.0)</f>
        <v>1</v>
      </c>
      <c r="G48" s="3">
        <f>IFERROR(__xludf.DUMMYFUNCTION("""COMPUTED_VALUE"""),0.0)</f>
        <v>0</v>
      </c>
      <c r="H48" s="3">
        <f>IFERROR(__xludf.DUMMYFUNCTION("""COMPUTED_VALUE"""),1.0)</f>
        <v>1</v>
      </c>
      <c r="I48" s="3">
        <f>IFERROR(__xludf.DUMMYFUNCTION("""COMPUTED_VALUE"""),1.0)</f>
        <v>1</v>
      </c>
      <c r="J48" s="3">
        <f>IFERROR(__xludf.DUMMYFUNCTION("""COMPUTED_VALUE"""),0.0)</f>
        <v>0</v>
      </c>
      <c r="K48" s="3">
        <f>IFERROR(__xludf.DUMMYFUNCTION("""COMPUTED_VALUE"""),1.0)</f>
        <v>1</v>
      </c>
      <c r="L48" s="3">
        <f>IFERROR(__xludf.DUMMYFUNCTION("""COMPUTED_VALUE"""),1.0)</f>
        <v>1</v>
      </c>
      <c r="M48" s="3">
        <f>IFERROR(__xludf.DUMMYFUNCTION("""COMPUTED_VALUE"""),1.0)</f>
        <v>1</v>
      </c>
      <c r="N48" s="3">
        <f>IFERROR(__xludf.DUMMYFUNCTION("""COMPUTED_VALUE"""),0.0)</f>
        <v>0</v>
      </c>
      <c r="O48" s="3">
        <f>IFERROR(__xludf.DUMMYFUNCTION("""COMPUTED_VALUE"""),1.0)</f>
        <v>1</v>
      </c>
      <c r="P48" s="3">
        <f>IFERROR(__xludf.DUMMYFUNCTION("""COMPUTED_VALUE"""),0.0)</f>
        <v>0</v>
      </c>
      <c r="Q48" s="3">
        <f>IFERROR(__xludf.DUMMYFUNCTION("""COMPUTED_VALUE"""),1.0)</f>
        <v>1</v>
      </c>
      <c r="S48" s="3">
        <v>1.0</v>
      </c>
      <c r="T48" s="3">
        <v>0.0</v>
      </c>
      <c r="U48" s="3">
        <v>1.0</v>
      </c>
      <c r="V48" s="3">
        <v>1.0</v>
      </c>
      <c r="W48" s="3">
        <v>1.0</v>
      </c>
      <c r="X48" s="3">
        <v>0.0</v>
      </c>
      <c r="Y48" s="3">
        <v>1.0</v>
      </c>
      <c r="Z48" s="3">
        <v>1.0</v>
      </c>
      <c r="AA48" s="3">
        <v>0.0</v>
      </c>
      <c r="AB48" s="3">
        <v>1.0</v>
      </c>
      <c r="AC48" s="3">
        <v>1.0</v>
      </c>
      <c r="AD48" s="3">
        <v>1.0</v>
      </c>
      <c r="AE48" s="3">
        <v>0.0</v>
      </c>
      <c r="AF48" s="3">
        <v>1.0</v>
      </c>
      <c r="AG48" s="3">
        <v>0.0</v>
      </c>
      <c r="AH48" s="3">
        <v>1.0</v>
      </c>
    </row>
    <row r="49">
      <c r="A49" s="2" t="s">
        <v>29</v>
      </c>
      <c r="B49" s="3">
        <f>IFERROR(__xludf.DUMMYFUNCTION("split(A49,""{,}"")"),1.0)</f>
        <v>1</v>
      </c>
      <c r="C49" s="3">
        <f>IFERROR(__xludf.DUMMYFUNCTION("""COMPUTED_VALUE"""),0.0)</f>
        <v>0</v>
      </c>
      <c r="D49" s="3">
        <f>IFERROR(__xludf.DUMMYFUNCTION("""COMPUTED_VALUE"""),0.0)</f>
        <v>0</v>
      </c>
      <c r="E49" s="3">
        <f>IFERROR(__xludf.DUMMYFUNCTION("""COMPUTED_VALUE"""),0.0)</f>
        <v>0</v>
      </c>
      <c r="F49" s="3">
        <f>IFERROR(__xludf.DUMMYFUNCTION("""COMPUTED_VALUE"""),0.0)</f>
        <v>0</v>
      </c>
      <c r="G49" s="3">
        <f>IFERROR(__xludf.DUMMYFUNCTION("""COMPUTED_VALUE"""),0.0)</f>
        <v>0</v>
      </c>
      <c r="H49" s="3">
        <f>IFERROR(__xludf.DUMMYFUNCTION("""COMPUTED_VALUE"""),1.0)</f>
        <v>1</v>
      </c>
      <c r="I49" s="3">
        <f>IFERROR(__xludf.DUMMYFUNCTION("""COMPUTED_VALUE"""),0.0)</f>
        <v>0</v>
      </c>
      <c r="J49" s="3">
        <f>IFERROR(__xludf.DUMMYFUNCTION("""COMPUTED_VALUE"""),0.0)</f>
        <v>0</v>
      </c>
      <c r="K49" s="3">
        <f>IFERROR(__xludf.DUMMYFUNCTION("""COMPUTED_VALUE"""),0.0)</f>
        <v>0</v>
      </c>
      <c r="L49" s="3">
        <f>IFERROR(__xludf.DUMMYFUNCTION("""COMPUTED_VALUE"""),0.0)</f>
        <v>0</v>
      </c>
      <c r="M49" s="3">
        <f>IFERROR(__xludf.DUMMYFUNCTION("""COMPUTED_VALUE"""),0.0)</f>
        <v>0</v>
      </c>
      <c r="N49" s="3">
        <f>IFERROR(__xludf.DUMMYFUNCTION("""COMPUTED_VALUE"""),2.0)</f>
        <v>2</v>
      </c>
      <c r="O49" s="3">
        <f>IFERROR(__xludf.DUMMYFUNCTION("""COMPUTED_VALUE"""),1.0)</f>
        <v>1</v>
      </c>
      <c r="P49" s="3">
        <f>IFERROR(__xludf.DUMMYFUNCTION("""COMPUTED_VALUE"""),0.0)</f>
        <v>0</v>
      </c>
      <c r="Q49" s="3">
        <f>IFERROR(__xludf.DUMMYFUNCTION("""COMPUTED_VALUE"""),1.0)</f>
        <v>1</v>
      </c>
      <c r="S49" s="3">
        <v>1.0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1.0</v>
      </c>
      <c r="Z49" s="3">
        <v>0.0</v>
      </c>
      <c r="AA49" s="3">
        <v>0.0</v>
      </c>
      <c r="AB49" s="3">
        <v>0.0</v>
      </c>
      <c r="AC49" s="3">
        <v>0.0</v>
      </c>
      <c r="AD49" s="3">
        <v>0.0</v>
      </c>
      <c r="AE49" s="3">
        <v>2.0</v>
      </c>
      <c r="AF49" s="3">
        <v>1.0</v>
      </c>
      <c r="AG49" s="3">
        <v>0.0</v>
      </c>
      <c r="AH49" s="3">
        <v>1.0</v>
      </c>
    </row>
    <row r="50">
      <c r="A50" s="2" t="s">
        <v>30</v>
      </c>
      <c r="B50" s="3">
        <f>IFERROR(__xludf.DUMMYFUNCTION("split(A50,""{,}"")"),1.0)</f>
        <v>1</v>
      </c>
      <c r="C50" s="3">
        <f>IFERROR(__xludf.DUMMYFUNCTION("""COMPUTED_VALUE"""),1.0)</f>
        <v>1</v>
      </c>
      <c r="D50" s="3">
        <f>IFERROR(__xludf.DUMMYFUNCTION("""COMPUTED_VALUE"""),0.0)</f>
        <v>0</v>
      </c>
      <c r="E50" s="3">
        <f>IFERROR(__xludf.DUMMYFUNCTION("""COMPUTED_VALUE"""),1.0)</f>
        <v>1</v>
      </c>
      <c r="F50" s="3">
        <f>IFERROR(__xludf.DUMMYFUNCTION("""COMPUTED_VALUE"""),1.0)</f>
        <v>1</v>
      </c>
      <c r="G50" s="3">
        <f>IFERROR(__xludf.DUMMYFUNCTION("""COMPUTED_VALUE"""),1.0)</f>
        <v>1</v>
      </c>
      <c r="H50" s="3">
        <f>IFERROR(__xludf.DUMMYFUNCTION("""COMPUTED_VALUE"""),1.0)</f>
        <v>1</v>
      </c>
      <c r="I50" s="3">
        <f>IFERROR(__xludf.DUMMYFUNCTION("""COMPUTED_VALUE"""),0.0)</f>
        <v>0</v>
      </c>
      <c r="J50" s="3">
        <f>IFERROR(__xludf.DUMMYFUNCTION("""COMPUTED_VALUE"""),1.0)</f>
        <v>1</v>
      </c>
      <c r="K50" s="3">
        <f>IFERROR(__xludf.DUMMYFUNCTION("""COMPUTED_VALUE"""),1.0)</f>
        <v>1</v>
      </c>
      <c r="L50" s="3">
        <f>IFERROR(__xludf.DUMMYFUNCTION("""COMPUTED_VALUE"""),0.0)</f>
        <v>0</v>
      </c>
      <c r="M50" s="3">
        <f>IFERROR(__xludf.DUMMYFUNCTION("""COMPUTED_VALUE"""),1.0)</f>
        <v>1</v>
      </c>
      <c r="N50" s="3">
        <f>IFERROR(__xludf.DUMMYFUNCTION("""COMPUTED_VALUE"""),1.0)</f>
        <v>1</v>
      </c>
      <c r="O50" s="3">
        <f>IFERROR(__xludf.DUMMYFUNCTION("""COMPUTED_VALUE"""),1.0)</f>
        <v>1</v>
      </c>
      <c r="P50" s="3">
        <f>IFERROR(__xludf.DUMMYFUNCTION("""COMPUTED_VALUE"""),0.0)</f>
        <v>0</v>
      </c>
      <c r="Q50" s="3">
        <f>IFERROR(__xludf.DUMMYFUNCTION("""COMPUTED_VALUE"""),1.0)</f>
        <v>1</v>
      </c>
      <c r="S50" s="3">
        <v>1.0</v>
      </c>
      <c r="T50" s="3">
        <v>1.0</v>
      </c>
      <c r="U50" s="3">
        <v>0.0</v>
      </c>
      <c r="V50" s="3">
        <v>1.0</v>
      </c>
      <c r="W50" s="3">
        <v>1.0</v>
      </c>
      <c r="X50" s="3">
        <v>1.0</v>
      </c>
      <c r="Y50" s="3">
        <v>1.0</v>
      </c>
      <c r="Z50" s="3">
        <v>0.0</v>
      </c>
      <c r="AA50" s="3">
        <v>1.0</v>
      </c>
      <c r="AB50" s="3">
        <v>1.0</v>
      </c>
      <c r="AC50" s="3">
        <v>0.0</v>
      </c>
      <c r="AD50" s="3">
        <v>1.0</v>
      </c>
      <c r="AE50" s="3">
        <v>1.0</v>
      </c>
      <c r="AF50" s="3">
        <v>1.0</v>
      </c>
      <c r="AG50" s="3">
        <v>0.0</v>
      </c>
      <c r="AH50" s="3">
        <v>1.0</v>
      </c>
    </row>
    <row r="51">
      <c r="A51" s="2" t="s">
        <v>18</v>
      </c>
      <c r="B51" s="3">
        <f>IFERROR(__xludf.DUMMYFUNCTION("split(A51,""{,}"")"),1.0)</f>
        <v>1</v>
      </c>
      <c r="C51" s="3">
        <f>IFERROR(__xludf.DUMMYFUNCTION("""COMPUTED_VALUE"""),0.0)</f>
        <v>0</v>
      </c>
      <c r="D51" s="3">
        <f>IFERROR(__xludf.DUMMYFUNCTION("""COMPUTED_VALUE"""),0.0)</f>
        <v>0</v>
      </c>
      <c r="E51" s="3">
        <f>IFERROR(__xludf.DUMMYFUNCTION("""COMPUTED_VALUE"""),0.0)</f>
        <v>0</v>
      </c>
      <c r="F51" s="3">
        <f>IFERROR(__xludf.DUMMYFUNCTION("""COMPUTED_VALUE"""),0.0)</f>
        <v>0</v>
      </c>
      <c r="G51" s="3">
        <f>IFERROR(__xludf.DUMMYFUNCTION("""COMPUTED_VALUE"""),0.0)</f>
        <v>0</v>
      </c>
      <c r="H51" s="3">
        <f>IFERROR(__xludf.DUMMYFUNCTION("""COMPUTED_VALUE"""),0.0)</f>
        <v>0</v>
      </c>
      <c r="I51" s="3">
        <f>IFERROR(__xludf.DUMMYFUNCTION("""COMPUTED_VALUE"""),0.0)</f>
        <v>0</v>
      </c>
      <c r="J51" s="3">
        <f>IFERROR(__xludf.DUMMYFUNCTION("""COMPUTED_VALUE"""),0.0)</f>
        <v>0</v>
      </c>
      <c r="K51" s="3">
        <f>IFERROR(__xludf.DUMMYFUNCTION("""COMPUTED_VALUE"""),0.0)</f>
        <v>0</v>
      </c>
      <c r="L51" s="3">
        <f>IFERROR(__xludf.DUMMYFUNCTION("""COMPUTED_VALUE"""),0.0)</f>
        <v>0</v>
      </c>
      <c r="M51" s="3">
        <f>IFERROR(__xludf.DUMMYFUNCTION("""COMPUTED_VALUE"""),0.0)</f>
        <v>0</v>
      </c>
      <c r="N51" s="3">
        <f>IFERROR(__xludf.DUMMYFUNCTION("""COMPUTED_VALUE"""),0.0)</f>
        <v>0</v>
      </c>
      <c r="O51" s="3">
        <f>IFERROR(__xludf.DUMMYFUNCTION("""COMPUTED_VALUE"""),0.0)</f>
        <v>0</v>
      </c>
      <c r="P51" s="3">
        <f>IFERROR(__xludf.DUMMYFUNCTION("""COMPUTED_VALUE"""),0.0)</f>
        <v>0</v>
      </c>
      <c r="Q51" s="3">
        <f>IFERROR(__xludf.DUMMYFUNCTION("""COMPUTED_VALUE"""),1.0)</f>
        <v>1</v>
      </c>
      <c r="S51" s="3">
        <v>1.0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3">
        <v>0.0</v>
      </c>
      <c r="AA51" s="3">
        <v>0.0</v>
      </c>
      <c r="AB51" s="3">
        <v>0.0</v>
      </c>
      <c r="AC51" s="3">
        <v>0.0</v>
      </c>
      <c r="AD51" s="3">
        <v>0.0</v>
      </c>
      <c r="AE51" s="3">
        <v>0.0</v>
      </c>
      <c r="AF51" s="3">
        <v>0.0</v>
      </c>
      <c r="AG51" s="3">
        <v>0.0</v>
      </c>
      <c r="AH51" s="3">
        <v>1.0</v>
      </c>
    </row>
    <row r="52">
      <c r="A52" s="2" t="s">
        <v>31</v>
      </c>
      <c r="B52" s="3">
        <f>IFERROR(__xludf.DUMMYFUNCTION("split(A52,""{,}"")"),1.0)</f>
        <v>1</v>
      </c>
      <c r="C52" s="3">
        <f>IFERROR(__xludf.DUMMYFUNCTION("""COMPUTED_VALUE"""),0.0)</f>
        <v>0</v>
      </c>
      <c r="D52" s="3">
        <f>IFERROR(__xludf.DUMMYFUNCTION("""COMPUTED_VALUE"""),1.0)</f>
        <v>1</v>
      </c>
      <c r="E52" s="3">
        <f>IFERROR(__xludf.DUMMYFUNCTION("""COMPUTED_VALUE"""),1.0)</f>
        <v>1</v>
      </c>
      <c r="F52" s="3">
        <f>IFERROR(__xludf.DUMMYFUNCTION("""COMPUTED_VALUE"""),0.0)</f>
        <v>0</v>
      </c>
      <c r="G52" s="3">
        <f>IFERROR(__xludf.DUMMYFUNCTION("""COMPUTED_VALUE"""),1.0)</f>
        <v>1</v>
      </c>
      <c r="H52" s="3">
        <f>IFERROR(__xludf.DUMMYFUNCTION("""COMPUTED_VALUE"""),5.0)</f>
        <v>5</v>
      </c>
      <c r="I52" s="3">
        <f>IFERROR(__xludf.DUMMYFUNCTION("""COMPUTED_VALUE"""),1.0)</f>
        <v>1</v>
      </c>
      <c r="J52" s="3">
        <f>IFERROR(__xludf.DUMMYFUNCTION("""COMPUTED_VALUE"""),1.0)</f>
        <v>1</v>
      </c>
      <c r="K52" s="3">
        <f>IFERROR(__xludf.DUMMYFUNCTION("""COMPUTED_VALUE"""),0.0)</f>
        <v>0</v>
      </c>
      <c r="L52" s="3">
        <f>IFERROR(__xludf.DUMMYFUNCTION("""COMPUTED_VALUE"""),1.0)</f>
        <v>1</v>
      </c>
      <c r="M52" s="3">
        <f>IFERROR(__xludf.DUMMYFUNCTION("""COMPUTED_VALUE"""),1.0)</f>
        <v>1</v>
      </c>
      <c r="N52" s="3">
        <f>IFERROR(__xludf.DUMMYFUNCTION("""COMPUTED_VALUE"""),0.0)</f>
        <v>0</v>
      </c>
      <c r="O52" s="3">
        <f>IFERROR(__xludf.DUMMYFUNCTION("""COMPUTED_VALUE"""),5.0)</f>
        <v>5</v>
      </c>
      <c r="P52" s="3">
        <f>IFERROR(__xludf.DUMMYFUNCTION("""COMPUTED_VALUE"""),1.0)</f>
        <v>1</v>
      </c>
      <c r="Q52" s="3">
        <f>IFERROR(__xludf.DUMMYFUNCTION("""COMPUTED_VALUE"""),1.0)</f>
        <v>1</v>
      </c>
      <c r="S52" s="3">
        <v>1.0</v>
      </c>
      <c r="T52" s="3">
        <v>0.0</v>
      </c>
      <c r="U52" s="3">
        <v>1.0</v>
      </c>
      <c r="V52" s="3">
        <v>1.0</v>
      </c>
      <c r="W52" s="3">
        <v>0.0</v>
      </c>
      <c r="X52" s="3">
        <v>1.0</v>
      </c>
      <c r="Y52" s="3">
        <v>5.0</v>
      </c>
      <c r="Z52" s="3">
        <v>1.0</v>
      </c>
      <c r="AA52" s="3">
        <v>1.0</v>
      </c>
      <c r="AB52" s="2">
        <v>4.0</v>
      </c>
      <c r="AC52" s="3">
        <v>1.0</v>
      </c>
      <c r="AD52" s="3">
        <v>1.0</v>
      </c>
      <c r="AE52" s="3">
        <v>0.0</v>
      </c>
      <c r="AF52" s="3">
        <v>5.0</v>
      </c>
      <c r="AG52" s="3">
        <v>1.0</v>
      </c>
      <c r="AH52" s="3">
        <v>1.0</v>
      </c>
    </row>
    <row r="53">
      <c r="A53" s="2" t="s">
        <v>32</v>
      </c>
      <c r="B53" s="3">
        <f>IFERROR(__xludf.DUMMYFUNCTION("split(A53,""{,}"")"),1.0)</f>
        <v>1</v>
      </c>
      <c r="C53" s="3">
        <f>IFERROR(__xludf.DUMMYFUNCTION("""COMPUTED_VALUE"""),0.0)</f>
        <v>0</v>
      </c>
      <c r="D53" s="3">
        <f>IFERROR(__xludf.DUMMYFUNCTION("""COMPUTED_VALUE"""),0.0)</f>
        <v>0</v>
      </c>
      <c r="E53" s="3">
        <f>IFERROR(__xludf.DUMMYFUNCTION("""COMPUTED_VALUE"""),0.0)</f>
        <v>0</v>
      </c>
      <c r="F53" s="3">
        <f>IFERROR(__xludf.DUMMYFUNCTION("""COMPUTED_VALUE"""),0.0)</f>
        <v>0</v>
      </c>
      <c r="G53" s="3">
        <f>IFERROR(__xludf.DUMMYFUNCTION("""COMPUTED_VALUE"""),0.0)</f>
        <v>0</v>
      </c>
      <c r="H53" s="3">
        <f>IFERROR(__xludf.DUMMYFUNCTION("""COMPUTED_VALUE"""),0.0)</f>
        <v>0</v>
      </c>
      <c r="I53" s="3">
        <f>IFERROR(__xludf.DUMMYFUNCTION("""COMPUTED_VALUE"""),0.0)</f>
        <v>0</v>
      </c>
      <c r="J53" s="3">
        <f>IFERROR(__xludf.DUMMYFUNCTION("""COMPUTED_VALUE"""),0.0)</f>
        <v>0</v>
      </c>
      <c r="K53" s="3">
        <f>IFERROR(__xludf.DUMMYFUNCTION("""COMPUTED_VALUE"""),0.0)</f>
        <v>0</v>
      </c>
      <c r="L53" s="3">
        <f>IFERROR(__xludf.DUMMYFUNCTION("""COMPUTED_VALUE"""),0.0)</f>
        <v>0</v>
      </c>
      <c r="M53" s="3">
        <f>IFERROR(__xludf.DUMMYFUNCTION("""COMPUTED_VALUE"""),0.0)</f>
        <v>0</v>
      </c>
      <c r="N53" s="3">
        <f>IFERROR(__xludf.DUMMYFUNCTION("""COMPUTED_VALUE"""),0.0)</f>
        <v>0</v>
      </c>
      <c r="O53" s="3">
        <f>IFERROR(__xludf.DUMMYFUNCTION("""COMPUTED_VALUE"""),0.0)</f>
        <v>0</v>
      </c>
      <c r="P53" s="3">
        <f>IFERROR(__xludf.DUMMYFUNCTION("""COMPUTED_VALUE"""),6.0)</f>
        <v>6</v>
      </c>
      <c r="Q53" s="3">
        <f>IFERROR(__xludf.DUMMYFUNCTION("""COMPUTED_VALUE"""),1.0)</f>
        <v>1</v>
      </c>
      <c r="S53" s="3">
        <v>1.0</v>
      </c>
      <c r="T53" s="3">
        <v>0.0</v>
      </c>
      <c r="U53" s="3">
        <v>0.0</v>
      </c>
      <c r="V53" s="3">
        <v>0.0</v>
      </c>
      <c r="W53" s="3">
        <v>0.0</v>
      </c>
      <c r="X53" s="3">
        <v>0.0</v>
      </c>
      <c r="Y53" s="3">
        <v>0.0</v>
      </c>
      <c r="Z53" s="3">
        <v>0.0</v>
      </c>
      <c r="AA53" s="3">
        <v>0.0</v>
      </c>
      <c r="AB53" s="3">
        <v>0.0</v>
      </c>
      <c r="AC53" s="3">
        <v>0.0</v>
      </c>
      <c r="AD53" s="3">
        <v>0.0</v>
      </c>
      <c r="AE53" s="3">
        <v>0.0</v>
      </c>
      <c r="AF53" s="3">
        <v>0.0</v>
      </c>
      <c r="AG53" s="3">
        <v>6.0</v>
      </c>
      <c r="AH53" s="3">
        <v>1.0</v>
      </c>
    </row>
    <row r="54">
      <c r="A54" s="2" t="s">
        <v>3</v>
      </c>
      <c r="B54" s="3">
        <f>IFERROR(__xludf.DUMMYFUNCTION("split(A54,""{,}"")"),1.0)</f>
        <v>1</v>
      </c>
      <c r="C54" s="3">
        <f>IFERROR(__xludf.DUMMYFUNCTION("""COMPUTED_VALUE"""),1.0)</f>
        <v>1</v>
      </c>
      <c r="D54" s="3">
        <f>IFERROR(__xludf.DUMMYFUNCTION("""COMPUTED_VALUE"""),1.0)</f>
        <v>1</v>
      </c>
      <c r="E54" s="3">
        <f>IFERROR(__xludf.DUMMYFUNCTION("""COMPUTED_VALUE"""),1.0)</f>
        <v>1</v>
      </c>
      <c r="F54" s="3">
        <f>IFERROR(__xludf.DUMMYFUNCTION("""COMPUTED_VALUE"""),1.0)</f>
        <v>1</v>
      </c>
      <c r="G54" s="3">
        <f>IFERROR(__xludf.DUMMYFUNCTION("""COMPUTED_VALUE"""),1.0)</f>
        <v>1</v>
      </c>
      <c r="H54" s="3">
        <f>IFERROR(__xludf.DUMMYFUNCTION("""COMPUTED_VALUE"""),1.0)</f>
        <v>1</v>
      </c>
      <c r="I54" s="3">
        <f>IFERROR(__xludf.DUMMYFUNCTION("""COMPUTED_VALUE"""),1.0)</f>
        <v>1</v>
      </c>
      <c r="J54" s="3">
        <f>IFERROR(__xludf.DUMMYFUNCTION("""COMPUTED_VALUE"""),1.0)</f>
        <v>1</v>
      </c>
      <c r="K54" s="3">
        <f>IFERROR(__xludf.DUMMYFUNCTION("""COMPUTED_VALUE"""),1.0)</f>
        <v>1</v>
      </c>
      <c r="L54" s="3">
        <f>IFERROR(__xludf.DUMMYFUNCTION("""COMPUTED_VALUE"""),1.0)</f>
        <v>1</v>
      </c>
      <c r="M54" s="3">
        <f>IFERROR(__xludf.DUMMYFUNCTION("""COMPUTED_VALUE"""),1.0)</f>
        <v>1</v>
      </c>
      <c r="N54" s="3">
        <f>IFERROR(__xludf.DUMMYFUNCTION("""COMPUTED_VALUE"""),1.0)</f>
        <v>1</v>
      </c>
      <c r="O54" s="3">
        <f>IFERROR(__xludf.DUMMYFUNCTION("""COMPUTED_VALUE"""),1.0)</f>
        <v>1</v>
      </c>
      <c r="P54" s="3">
        <f>IFERROR(__xludf.DUMMYFUNCTION("""COMPUTED_VALUE"""),1.0)</f>
        <v>1</v>
      </c>
      <c r="Q54" s="3">
        <f>IFERROR(__xludf.DUMMYFUNCTION("""COMPUTED_VALUE"""),1.0)</f>
        <v>1</v>
      </c>
      <c r="S54" s="3">
        <v>1.0</v>
      </c>
      <c r="T54" s="3">
        <v>1.0</v>
      </c>
      <c r="U54" s="3">
        <v>1.0</v>
      </c>
      <c r="V54" s="3">
        <v>1.0</v>
      </c>
      <c r="W54" s="3">
        <v>1.0</v>
      </c>
      <c r="X54" s="3">
        <v>1.0</v>
      </c>
      <c r="Y54" s="3">
        <v>1.0</v>
      </c>
      <c r="Z54" s="3">
        <v>1.0</v>
      </c>
      <c r="AA54" s="3">
        <v>1.0</v>
      </c>
      <c r="AB54" s="3">
        <v>1.0</v>
      </c>
      <c r="AC54" s="3">
        <v>1.0</v>
      </c>
      <c r="AD54" s="3">
        <v>1.0</v>
      </c>
      <c r="AE54" s="3">
        <v>1.0</v>
      </c>
      <c r="AF54" s="3">
        <v>1.0</v>
      </c>
      <c r="AG54" s="3">
        <v>1.0</v>
      </c>
      <c r="AH54" s="3">
        <v>1.0</v>
      </c>
    </row>
    <row r="55">
      <c r="A55" s="2" t="s">
        <v>33</v>
      </c>
    </row>
    <row r="56">
      <c r="A56" s="2">
        <v>3.2</v>
      </c>
    </row>
    <row r="57">
      <c r="A57" s="2" t="s">
        <v>3</v>
      </c>
      <c r="B57" s="3">
        <f>IFERROR(__xludf.DUMMYFUNCTION("split(A57,""{,}"")"),1.0)</f>
        <v>1</v>
      </c>
      <c r="C57" s="3">
        <f>IFERROR(__xludf.DUMMYFUNCTION("""COMPUTED_VALUE"""),1.0)</f>
        <v>1</v>
      </c>
      <c r="D57" s="3">
        <f>IFERROR(__xludf.DUMMYFUNCTION("""COMPUTED_VALUE"""),1.0)</f>
        <v>1</v>
      </c>
      <c r="E57" s="3">
        <f>IFERROR(__xludf.DUMMYFUNCTION("""COMPUTED_VALUE"""),1.0)</f>
        <v>1</v>
      </c>
      <c r="F57" s="3">
        <f>IFERROR(__xludf.DUMMYFUNCTION("""COMPUTED_VALUE"""),1.0)</f>
        <v>1</v>
      </c>
      <c r="G57" s="3">
        <f>IFERROR(__xludf.DUMMYFUNCTION("""COMPUTED_VALUE"""),1.0)</f>
        <v>1</v>
      </c>
      <c r="H57" s="3">
        <f>IFERROR(__xludf.DUMMYFUNCTION("""COMPUTED_VALUE"""),1.0)</f>
        <v>1</v>
      </c>
      <c r="I57" s="3">
        <f>IFERROR(__xludf.DUMMYFUNCTION("""COMPUTED_VALUE"""),1.0)</f>
        <v>1</v>
      </c>
      <c r="J57" s="3">
        <f>IFERROR(__xludf.DUMMYFUNCTION("""COMPUTED_VALUE"""),1.0)</f>
        <v>1</v>
      </c>
      <c r="K57" s="3">
        <f>IFERROR(__xludf.DUMMYFUNCTION("""COMPUTED_VALUE"""),1.0)</f>
        <v>1</v>
      </c>
      <c r="L57" s="3">
        <f>IFERROR(__xludf.DUMMYFUNCTION("""COMPUTED_VALUE"""),1.0)</f>
        <v>1</v>
      </c>
      <c r="M57" s="3">
        <f>IFERROR(__xludf.DUMMYFUNCTION("""COMPUTED_VALUE"""),1.0)</f>
        <v>1</v>
      </c>
      <c r="N57" s="3">
        <f>IFERROR(__xludf.DUMMYFUNCTION("""COMPUTED_VALUE"""),1.0)</f>
        <v>1</v>
      </c>
      <c r="O57" s="3">
        <f>IFERROR(__xludf.DUMMYFUNCTION("""COMPUTED_VALUE"""),1.0)</f>
        <v>1</v>
      </c>
      <c r="P57" s="3">
        <f>IFERROR(__xludf.DUMMYFUNCTION("""COMPUTED_VALUE"""),1.0)</f>
        <v>1</v>
      </c>
      <c r="Q57" s="3">
        <f>IFERROR(__xludf.DUMMYFUNCTION("""COMPUTED_VALUE"""),1.0)</f>
        <v>1</v>
      </c>
      <c r="S57" s="3">
        <v>1.0</v>
      </c>
      <c r="T57" s="3">
        <v>1.0</v>
      </c>
      <c r="U57" s="3">
        <v>1.0</v>
      </c>
      <c r="V57" s="3">
        <v>1.0</v>
      </c>
      <c r="W57" s="3">
        <v>1.0</v>
      </c>
      <c r="X57" s="3">
        <v>1.0</v>
      </c>
      <c r="Y57" s="3">
        <v>1.0</v>
      </c>
      <c r="Z57" s="3">
        <v>1.0</v>
      </c>
      <c r="AA57" s="3">
        <v>1.0</v>
      </c>
      <c r="AB57" s="3">
        <v>1.0</v>
      </c>
      <c r="AC57" s="3">
        <v>1.0</v>
      </c>
      <c r="AD57" s="3">
        <v>1.0</v>
      </c>
      <c r="AE57" s="3">
        <v>1.0</v>
      </c>
      <c r="AF57" s="3">
        <v>1.0</v>
      </c>
      <c r="AG57" s="3">
        <v>1.0</v>
      </c>
      <c r="AH57" s="3">
        <v>1.0</v>
      </c>
    </row>
    <row r="58">
      <c r="A58" s="2" t="s">
        <v>34</v>
      </c>
      <c r="B58" s="3">
        <f>IFERROR(__xludf.DUMMYFUNCTION("split(A58,""{,}"")"),1.0)</f>
        <v>1</v>
      </c>
      <c r="C58" s="3">
        <f>IFERROR(__xludf.DUMMYFUNCTION("""COMPUTED_VALUE"""),0.0)</f>
        <v>0</v>
      </c>
      <c r="D58" s="3">
        <f>IFERROR(__xludf.DUMMYFUNCTION("""COMPUTED_VALUE"""),0.0)</f>
        <v>0</v>
      </c>
      <c r="E58" s="3">
        <f>IFERROR(__xludf.DUMMYFUNCTION("""COMPUTED_VALUE"""),0.0)</f>
        <v>0</v>
      </c>
      <c r="F58" s="3">
        <f>IFERROR(__xludf.DUMMYFUNCTION("""COMPUTED_VALUE"""),0.0)</f>
        <v>0</v>
      </c>
      <c r="G58" s="3">
        <f>IFERROR(__xludf.DUMMYFUNCTION("""COMPUTED_VALUE"""),0.0)</f>
        <v>0</v>
      </c>
      <c r="H58" s="3">
        <f>IFERROR(__xludf.DUMMYFUNCTION("""COMPUTED_VALUE"""),1.0)</f>
        <v>1</v>
      </c>
      <c r="I58" s="3">
        <f>IFERROR(__xludf.DUMMYFUNCTION("""COMPUTED_VALUE"""),0.0)</f>
        <v>0</v>
      </c>
      <c r="J58" s="3">
        <f>IFERROR(__xludf.DUMMYFUNCTION("""COMPUTED_VALUE"""),0.0)</f>
        <v>0</v>
      </c>
      <c r="K58" s="3">
        <f>IFERROR(__xludf.DUMMYFUNCTION("""COMPUTED_VALUE"""),0.0)</f>
        <v>0</v>
      </c>
      <c r="L58" s="3">
        <f>IFERROR(__xludf.DUMMYFUNCTION("""COMPUTED_VALUE"""),1.0)</f>
        <v>1</v>
      </c>
      <c r="M58" s="3">
        <f>IFERROR(__xludf.DUMMYFUNCTION("""COMPUTED_VALUE"""),0.0)</f>
        <v>0</v>
      </c>
      <c r="N58" s="3">
        <f>IFERROR(__xludf.DUMMYFUNCTION("""COMPUTED_VALUE"""),0.0)</f>
        <v>0</v>
      </c>
      <c r="O58" s="3">
        <f>IFERROR(__xludf.DUMMYFUNCTION("""COMPUTED_VALUE"""),0.0)</f>
        <v>0</v>
      </c>
      <c r="P58" s="3">
        <f>IFERROR(__xludf.DUMMYFUNCTION("""COMPUTED_VALUE"""),0.0)</f>
        <v>0</v>
      </c>
      <c r="Q58" s="3">
        <f>IFERROR(__xludf.DUMMYFUNCTION("""COMPUTED_VALUE"""),1.0)</f>
        <v>1</v>
      </c>
      <c r="S58" s="3">
        <v>1.0</v>
      </c>
      <c r="T58" s="3">
        <v>0.0</v>
      </c>
      <c r="U58" s="3">
        <v>0.0</v>
      </c>
      <c r="V58" s="3">
        <v>0.0</v>
      </c>
      <c r="W58" s="3">
        <v>0.0</v>
      </c>
      <c r="X58" s="2">
        <v>4.0</v>
      </c>
      <c r="Y58" s="3">
        <v>1.0</v>
      </c>
      <c r="Z58" s="3">
        <v>0.0</v>
      </c>
      <c r="AA58" s="3">
        <v>0.0</v>
      </c>
      <c r="AB58" s="3">
        <v>0.0</v>
      </c>
      <c r="AC58" s="3">
        <v>1.0</v>
      </c>
      <c r="AD58" s="3">
        <v>0.0</v>
      </c>
      <c r="AE58" s="3">
        <v>0.0</v>
      </c>
      <c r="AF58" s="3">
        <v>0.0</v>
      </c>
      <c r="AG58" s="2">
        <v>4.0</v>
      </c>
      <c r="AH58" s="3">
        <v>1.0</v>
      </c>
    </row>
    <row r="59">
      <c r="A59" s="2" t="s">
        <v>35</v>
      </c>
      <c r="B59" s="3">
        <f>IFERROR(__xludf.DUMMYFUNCTION("split(A59,""{,}"")"),1.0)</f>
        <v>1</v>
      </c>
      <c r="C59" s="3">
        <f>IFERROR(__xludf.DUMMYFUNCTION("""COMPUTED_VALUE"""),0.0)</f>
        <v>0</v>
      </c>
      <c r="D59" s="3">
        <f>IFERROR(__xludf.DUMMYFUNCTION("""COMPUTED_VALUE"""),1.0)</f>
        <v>1</v>
      </c>
      <c r="E59" s="3">
        <f>IFERROR(__xludf.DUMMYFUNCTION("""COMPUTED_VALUE"""),1.0)</f>
        <v>1</v>
      </c>
      <c r="F59" s="3">
        <f>IFERROR(__xludf.DUMMYFUNCTION("""COMPUTED_VALUE"""),0.0)</f>
        <v>0</v>
      </c>
      <c r="G59" s="3">
        <f>IFERROR(__xludf.DUMMYFUNCTION("""COMPUTED_VALUE"""),1.0)</f>
        <v>1</v>
      </c>
      <c r="H59" s="3">
        <f>IFERROR(__xludf.DUMMYFUNCTION("""COMPUTED_VALUE"""),1.0)</f>
        <v>1</v>
      </c>
      <c r="I59" s="3">
        <f>IFERROR(__xludf.DUMMYFUNCTION("""COMPUTED_VALUE"""),0.0)</f>
        <v>0</v>
      </c>
      <c r="J59" s="3">
        <f>IFERROR(__xludf.DUMMYFUNCTION("""COMPUTED_VALUE"""),1.0)</f>
        <v>1</v>
      </c>
      <c r="K59" s="3">
        <f>IFERROR(__xludf.DUMMYFUNCTION("""COMPUTED_VALUE"""),0.0)</f>
        <v>0</v>
      </c>
      <c r="L59" s="3">
        <f>IFERROR(__xludf.DUMMYFUNCTION("""COMPUTED_VALUE"""),1.0)</f>
        <v>1</v>
      </c>
      <c r="M59" s="3">
        <f>IFERROR(__xludf.DUMMYFUNCTION("""COMPUTED_VALUE"""),0.0)</f>
        <v>0</v>
      </c>
      <c r="N59" s="3">
        <f>IFERROR(__xludf.DUMMYFUNCTION("""COMPUTED_VALUE"""),1.0)</f>
        <v>1</v>
      </c>
      <c r="O59" s="3">
        <f>IFERROR(__xludf.DUMMYFUNCTION("""COMPUTED_VALUE"""),1.0)</f>
        <v>1</v>
      </c>
      <c r="P59" s="3">
        <f>IFERROR(__xludf.DUMMYFUNCTION("""COMPUTED_VALUE"""),5.0)</f>
        <v>5</v>
      </c>
      <c r="Q59" s="3">
        <f>IFERROR(__xludf.DUMMYFUNCTION("""COMPUTED_VALUE"""),1.0)</f>
        <v>1</v>
      </c>
      <c r="S59" s="3">
        <v>1.0</v>
      </c>
      <c r="T59" s="3">
        <v>0.0</v>
      </c>
      <c r="U59" s="3">
        <v>1.0</v>
      </c>
      <c r="V59" s="3">
        <v>1.0</v>
      </c>
      <c r="W59" s="3">
        <v>0.0</v>
      </c>
      <c r="X59" s="3">
        <v>1.0</v>
      </c>
      <c r="Y59" s="3">
        <v>1.0</v>
      </c>
      <c r="Z59" s="3">
        <v>0.0</v>
      </c>
      <c r="AA59" s="3">
        <v>1.0</v>
      </c>
      <c r="AB59" s="3">
        <v>0.0</v>
      </c>
      <c r="AC59" s="3">
        <v>1.0</v>
      </c>
      <c r="AD59" s="3">
        <v>0.0</v>
      </c>
      <c r="AE59" s="3">
        <v>1.0</v>
      </c>
      <c r="AF59" s="3">
        <v>1.0</v>
      </c>
      <c r="AG59" s="3">
        <v>5.0</v>
      </c>
      <c r="AH59" s="3">
        <v>1.0</v>
      </c>
    </row>
    <row r="60">
      <c r="A60" s="2" t="s">
        <v>36</v>
      </c>
      <c r="B60" s="3">
        <f>IFERROR(__xludf.DUMMYFUNCTION("split(A60,""{,}"")"),1.0)</f>
        <v>1</v>
      </c>
      <c r="C60" s="3">
        <f>IFERROR(__xludf.DUMMYFUNCTION("""COMPUTED_VALUE"""),0.0)</f>
        <v>0</v>
      </c>
      <c r="D60" s="3">
        <f>IFERROR(__xludf.DUMMYFUNCTION("""COMPUTED_VALUE"""),0.0)</f>
        <v>0</v>
      </c>
      <c r="E60" s="3">
        <f>IFERROR(__xludf.DUMMYFUNCTION("""COMPUTED_VALUE"""),1.0)</f>
        <v>1</v>
      </c>
      <c r="F60" s="3">
        <f>IFERROR(__xludf.DUMMYFUNCTION("""COMPUTED_VALUE"""),0.0)</f>
        <v>0</v>
      </c>
      <c r="G60" s="3">
        <f>IFERROR(__xludf.DUMMYFUNCTION("""COMPUTED_VALUE"""),0.0)</f>
        <v>0</v>
      </c>
      <c r="H60" s="3">
        <f>IFERROR(__xludf.DUMMYFUNCTION("""COMPUTED_VALUE"""),0.0)</f>
        <v>0</v>
      </c>
      <c r="I60" s="3">
        <f>IFERROR(__xludf.DUMMYFUNCTION("""COMPUTED_VALUE"""),0.0)</f>
        <v>0</v>
      </c>
      <c r="J60" s="3">
        <f>IFERROR(__xludf.DUMMYFUNCTION("""COMPUTED_VALUE"""),1.0)</f>
        <v>1</v>
      </c>
      <c r="K60" s="3">
        <f>IFERROR(__xludf.DUMMYFUNCTION("""COMPUTED_VALUE"""),0.0)</f>
        <v>0</v>
      </c>
      <c r="L60" s="3">
        <f>IFERROR(__xludf.DUMMYFUNCTION("""COMPUTED_VALUE"""),0.0)</f>
        <v>0</v>
      </c>
      <c r="M60" s="3">
        <f>IFERROR(__xludf.DUMMYFUNCTION("""COMPUTED_VALUE"""),0.0)</f>
        <v>0</v>
      </c>
      <c r="N60" s="3">
        <f>IFERROR(__xludf.DUMMYFUNCTION("""COMPUTED_VALUE"""),0.0)</f>
        <v>0</v>
      </c>
      <c r="O60" s="3">
        <f>IFERROR(__xludf.DUMMYFUNCTION("""COMPUTED_VALUE"""),0.0)</f>
        <v>0</v>
      </c>
      <c r="P60" s="3">
        <f>IFERROR(__xludf.DUMMYFUNCTION("""COMPUTED_VALUE"""),1.0)</f>
        <v>1</v>
      </c>
      <c r="Q60" s="3">
        <f>IFERROR(__xludf.DUMMYFUNCTION("""COMPUTED_VALUE"""),1.0)</f>
        <v>1</v>
      </c>
      <c r="S60" s="3">
        <v>1.0</v>
      </c>
      <c r="T60" s="3">
        <v>0.0</v>
      </c>
      <c r="U60" s="3">
        <v>0.0</v>
      </c>
      <c r="V60" s="2">
        <v>5.0</v>
      </c>
      <c r="W60" s="3">
        <v>0.0</v>
      </c>
      <c r="X60" s="3">
        <v>0.0</v>
      </c>
      <c r="Y60" s="3">
        <v>0.0</v>
      </c>
      <c r="Z60" s="3">
        <v>0.0</v>
      </c>
      <c r="AA60" s="3">
        <v>1.0</v>
      </c>
      <c r="AB60" s="3">
        <v>0.0</v>
      </c>
      <c r="AC60" s="3">
        <v>0.0</v>
      </c>
      <c r="AD60" s="3">
        <v>0.0</v>
      </c>
      <c r="AE60" s="3">
        <v>0.0</v>
      </c>
      <c r="AF60" s="3">
        <v>0.0</v>
      </c>
      <c r="AG60" s="3">
        <v>1.0</v>
      </c>
      <c r="AH60" s="3">
        <v>1.0</v>
      </c>
    </row>
    <row r="61">
      <c r="A61" s="2" t="s">
        <v>37</v>
      </c>
      <c r="B61" s="3">
        <f>IFERROR(__xludf.DUMMYFUNCTION("split(A61,""{,}"")"),1.0)</f>
        <v>1</v>
      </c>
      <c r="C61" s="3">
        <f>IFERROR(__xludf.DUMMYFUNCTION("""COMPUTED_VALUE"""),1.0)</f>
        <v>1</v>
      </c>
      <c r="D61" s="3">
        <f>IFERROR(__xludf.DUMMYFUNCTION("""COMPUTED_VALUE"""),0.0)</f>
        <v>0</v>
      </c>
      <c r="E61" s="3">
        <f>IFERROR(__xludf.DUMMYFUNCTION("""COMPUTED_VALUE"""),1.0)</f>
        <v>1</v>
      </c>
      <c r="F61" s="3">
        <f>IFERROR(__xludf.DUMMYFUNCTION("""COMPUTED_VALUE"""),1.0)</f>
        <v>1</v>
      </c>
      <c r="G61" s="3">
        <f>IFERROR(__xludf.DUMMYFUNCTION("""COMPUTED_VALUE"""),0.0)</f>
        <v>0</v>
      </c>
      <c r="H61" s="3">
        <f>IFERROR(__xludf.DUMMYFUNCTION("""COMPUTED_VALUE"""),1.0)</f>
        <v>1</v>
      </c>
      <c r="I61" s="3">
        <f>IFERROR(__xludf.DUMMYFUNCTION("""COMPUTED_VALUE"""),1.0)</f>
        <v>1</v>
      </c>
      <c r="J61" s="3">
        <f>IFERROR(__xludf.DUMMYFUNCTION("""COMPUTED_VALUE"""),1.0)</f>
        <v>1</v>
      </c>
      <c r="K61" s="3">
        <f>IFERROR(__xludf.DUMMYFUNCTION("""COMPUTED_VALUE"""),1.0)</f>
        <v>1</v>
      </c>
      <c r="L61" s="3">
        <f>IFERROR(__xludf.DUMMYFUNCTION("""COMPUTED_VALUE"""),1.0)</f>
        <v>1</v>
      </c>
      <c r="M61" s="3">
        <f>IFERROR(__xludf.DUMMYFUNCTION("""COMPUTED_VALUE"""),0.0)</f>
        <v>0</v>
      </c>
      <c r="N61" s="3">
        <f>IFERROR(__xludf.DUMMYFUNCTION("""COMPUTED_VALUE"""),1.0)</f>
        <v>1</v>
      </c>
      <c r="O61" s="3">
        <f>IFERROR(__xludf.DUMMYFUNCTION("""COMPUTED_VALUE"""),1.0)</f>
        <v>1</v>
      </c>
      <c r="P61" s="3">
        <f>IFERROR(__xludf.DUMMYFUNCTION("""COMPUTED_VALUE"""),1.0)</f>
        <v>1</v>
      </c>
      <c r="Q61" s="3">
        <f>IFERROR(__xludf.DUMMYFUNCTION("""COMPUTED_VALUE"""),1.0)</f>
        <v>1</v>
      </c>
      <c r="S61" s="3">
        <v>1.0</v>
      </c>
      <c r="T61" s="3">
        <v>1.0</v>
      </c>
      <c r="U61" s="3">
        <v>0.0</v>
      </c>
      <c r="V61" s="3">
        <v>1.0</v>
      </c>
      <c r="W61" s="3">
        <v>1.0</v>
      </c>
      <c r="X61" s="3">
        <v>0.0</v>
      </c>
      <c r="Y61" s="3">
        <v>1.0</v>
      </c>
      <c r="Z61" s="3">
        <v>1.0</v>
      </c>
      <c r="AA61" s="3">
        <v>1.0</v>
      </c>
      <c r="AB61" s="3">
        <v>1.0</v>
      </c>
      <c r="AC61" s="3">
        <v>1.0</v>
      </c>
      <c r="AD61" s="3">
        <v>0.0</v>
      </c>
      <c r="AE61" s="3">
        <v>1.0</v>
      </c>
      <c r="AF61" s="3">
        <v>1.0</v>
      </c>
      <c r="AG61" s="3">
        <v>1.0</v>
      </c>
      <c r="AH61" s="3">
        <v>1.0</v>
      </c>
    </row>
    <row r="62">
      <c r="A62" s="2" t="s">
        <v>18</v>
      </c>
      <c r="B62" s="3">
        <f>IFERROR(__xludf.DUMMYFUNCTION("split(A62,""{,}"")"),1.0)</f>
        <v>1</v>
      </c>
      <c r="C62" s="3">
        <f>IFERROR(__xludf.DUMMYFUNCTION("""COMPUTED_VALUE"""),0.0)</f>
        <v>0</v>
      </c>
      <c r="D62" s="3">
        <f>IFERROR(__xludf.DUMMYFUNCTION("""COMPUTED_VALUE"""),0.0)</f>
        <v>0</v>
      </c>
      <c r="E62" s="3">
        <f>IFERROR(__xludf.DUMMYFUNCTION("""COMPUTED_VALUE"""),0.0)</f>
        <v>0</v>
      </c>
      <c r="F62" s="3">
        <f>IFERROR(__xludf.DUMMYFUNCTION("""COMPUTED_VALUE"""),0.0)</f>
        <v>0</v>
      </c>
      <c r="G62" s="3">
        <f>IFERROR(__xludf.DUMMYFUNCTION("""COMPUTED_VALUE"""),0.0)</f>
        <v>0</v>
      </c>
      <c r="H62" s="3">
        <f>IFERROR(__xludf.DUMMYFUNCTION("""COMPUTED_VALUE"""),0.0)</f>
        <v>0</v>
      </c>
      <c r="I62" s="3">
        <f>IFERROR(__xludf.DUMMYFUNCTION("""COMPUTED_VALUE"""),0.0)</f>
        <v>0</v>
      </c>
      <c r="J62" s="3">
        <f>IFERROR(__xludf.DUMMYFUNCTION("""COMPUTED_VALUE"""),0.0)</f>
        <v>0</v>
      </c>
      <c r="K62" s="3">
        <f>IFERROR(__xludf.DUMMYFUNCTION("""COMPUTED_VALUE"""),0.0)</f>
        <v>0</v>
      </c>
      <c r="L62" s="3">
        <f>IFERROR(__xludf.DUMMYFUNCTION("""COMPUTED_VALUE"""),0.0)</f>
        <v>0</v>
      </c>
      <c r="M62" s="3">
        <f>IFERROR(__xludf.DUMMYFUNCTION("""COMPUTED_VALUE"""),0.0)</f>
        <v>0</v>
      </c>
      <c r="N62" s="3">
        <f>IFERROR(__xludf.DUMMYFUNCTION("""COMPUTED_VALUE"""),0.0)</f>
        <v>0</v>
      </c>
      <c r="O62" s="3">
        <f>IFERROR(__xludf.DUMMYFUNCTION("""COMPUTED_VALUE"""),0.0)</f>
        <v>0</v>
      </c>
      <c r="P62" s="3">
        <f>IFERROR(__xludf.DUMMYFUNCTION("""COMPUTED_VALUE"""),0.0)</f>
        <v>0</v>
      </c>
      <c r="Q62" s="3">
        <f>IFERROR(__xludf.DUMMYFUNCTION("""COMPUTED_VALUE"""),1.0)</f>
        <v>1</v>
      </c>
      <c r="S62" s="3">
        <v>1.0</v>
      </c>
      <c r="T62" s="3">
        <v>0.0</v>
      </c>
      <c r="U62" s="3">
        <v>0.0</v>
      </c>
      <c r="V62" s="3">
        <v>0.0</v>
      </c>
      <c r="W62" s="3">
        <v>0.0</v>
      </c>
      <c r="X62" s="3">
        <v>0.0</v>
      </c>
      <c r="Y62" s="3">
        <v>0.0</v>
      </c>
      <c r="Z62" s="3">
        <v>0.0</v>
      </c>
      <c r="AA62" s="2">
        <v>1.0</v>
      </c>
      <c r="AB62" s="3">
        <v>0.0</v>
      </c>
      <c r="AC62" s="3">
        <v>0.0</v>
      </c>
      <c r="AD62" s="3">
        <v>0.0</v>
      </c>
      <c r="AE62" s="3">
        <v>0.0</v>
      </c>
      <c r="AF62" s="3">
        <v>0.0</v>
      </c>
      <c r="AG62" s="3">
        <v>0.0</v>
      </c>
      <c r="AH62" s="3">
        <v>1.0</v>
      </c>
    </row>
    <row r="63">
      <c r="A63" s="2" t="s">
        <v>38</v>
      </c>
      <c r="B63" s="3">
        <f>IFERROR(__xludf.DUMMYFUNCTION("split(A63,""{,}"")"),1.0)</f>
        <v>1</v>
      </c>
      <c r="C63" s="3">
        <f>IFERROR(__xludf.DUMMYFUNCTION("""COMPUTED_VALUE"""),0.0)</f>
        <v>0</v>
      </c>
      <c r="D63" s="3">
        <f>IFERROR(__xludf.DUMMYFUNCTION("""COMPUTED_VALUE"""),1.0)</f>
        <v>1</v>
      </c>
      <c r="E63" s="3">
        <f>IFERROR(__xludf.DUMMYFUNCTION("""COMPUTED_VALUE"""),1.0)</f>
        <v>1</v>
      </c>
      <c r="F63" s="3">
        <f>IFERROR(__xludf.DUMMYFUNCTION("""COMPUTED_VALUE"""),0.0)</f>
        <v>0</v>
      </c>
      <c r="G63" s="3">
        <f>IFERROR(__xludf.DUMMYFUNCTION("""COMPUTED_VALUE"""),1.0)</f>
        <v>1</v>
      </c>
      <c r="H63" s="3">
        <f>IFERROR(__xludf.DUMMYFUNCTION("""COMPUTED_VALUE"""),0.0)</f>
        <v>0</v>
      </c>
      <c r="I63" s="3">
        <f>IFERROR(__xludf.DUMMYFUNCTION("""COMPUTED_VALUE"""),1.0)</f>
        <v>1</v>
      </c>
      <c r="J63" s="3">
        <f>IFERROR(__xludf.DUMMYFUNCTION("""COMPUTED_VALUE"""),1.0)</f>
        <v>1</v>
      </c>
      <c r="K63" s="3">
        <f>IFERROR(__xludf.DUMMYFUNCTION("""COMPUTED_VALUE"""),0.0)</f>
        <v>0</v>
      </c>
      <c r="L63" s="3">
        <f>IFERROR(__xludf.DUMMYFUNCTION("""COMPUTED_VALUE"""),1.0)</f>
        <v>1</v>
      </c>
      <c r="M63" s="3">
        <f>IFERROR(__xludf.DUMMYFUNCTION("""COMPUTED_VALUE"""),5.0)</f>
        <v>5</v>
      </c>
      <c r="N63" s="3">
        <f>IFERROR(__xludf.DUMMYFUNCTION("""COMPUTED_VALUE"""),1.0)</f>
        <v>1</v>
      </c>
      <c r="O63" s="3">
        <f>IFERROR(__xludf.DUMMYFUNCTION("""COMPUTED_VALUE"""),0.0)</f>
        <v>0</v>
      </c>
      <c r="P63" s="3">
        <f>IFERROR(__xludf.DUMMYFUNCTION("""COMPUTED_VALUE"""),1.0)</f>
        <v>1</v>
      </c>
      <c r="Q63" s="3">
        <f>IFERROR(__xludf.DUMMYFUNCTION("""COMPUTED_VALUE"""),1.0)</f>
        <v>1</v>
      </c>
      <c r="S63" s="3">
        <v>1.0</v>
      </c>
      <c r="T63" s="3">
        <v>0.0</v>
      </c>
      <c r="U63" s="3">
        <v>1.0</v>
      </c>
      <c r="V63" s="3">
        <v>1.0</v>
      </c>
      <c r="W63" s="2">
        <v>4.0</v>
      </c>
      <c r="X63" s="3">
        <v>1.0</v>
      </c>
      <c r="Y63" s="3">
        <v>0.0</v>
      </c>
      <c r="Z63" s="3">
        <v>1.0</v>
      </c>
      <c r="AA63" s="3">
        <v>1.0</v>
      </c>
      <c r="AB63" s="3">
        <v>0.0</v>
      </c>
      <c r="AC63" s="3">
        <v>1.0</v>
      </c>
      <c r="AD63" s="3">
        <v>5.0</v>
      </c>
      <c r="AE63" s="3">
        <v>1.0</v>
      </c>
      <c r="AF63" s="3">
        <v>0.0</v>
      </c>
      <c r="AG63" s="3">
        <v>1.0</v>
      </c>
      <c r="AH63" s="3">
        <v>1.0</v>
      </c>
    </row>
    <row r="64">
      <c r="A64" s="2" t="s">
        <v>17</v>
      </c>
      <c r="B64" s="3">
        <f>IFERROR(__xludf.DUMMYFUNCTION("split(A64,""{,}"")"),1.0)</f>
        <v>1</v>
      </c>
      <c r="C64" s="3">
        <f>IFERROR(__xludf.DUMMYFUNCTION("""COMPUTED_VALUE"""),6.0)</f>
        <v>6</v>
      </c>
      <c r="D64" s="3">
        <f>IFERROR(__xludf.DUMMYFUNCTION("""COMPUTED_VALUE"""),0.0)</f>
        <v>0</v>
      </c>
      <c r="E64" s="3">
        <f>IFERROR(__xludf.DUMMYFUNCTION("""COMPUTED_VALUE"""),0.0)</f>
        <v>0</v>
      </c>
      <c r="F64" s="3">
        <f>IFERROR(__xludf.DUMMYFUNCTION("""COMPUTED_VALUE"""),0.0)</f>
        <v>0</v>
      </c>
      <c r="G64" s="3">
        <f>IFERROR(__xludf.DUMMYFUNCTION("""COMPUTED_VALUE"""),0.0)</f>
        <v>0</v>
      </c>
      <c r="H64" s="3">
        <f>IFERROR(__xludf.DUMMYFUNCTION("""COMPUTED_VALUE"""),0.0)</f>
        <v>0</v>
      </c>
      <c r="I64" s="3">
        <f>IFERROR(__xludf.DUMMYFUNCTION("""COMPUTED_VALUE"""),0.0)</f>
        <v>0</v>
      </c>
      <c r="J64" s="3">
        <f>IFERROR(__xludf.DUMMYFUNCTION("""COMPUTED_VALUE"""),0.0)</f>
        <v>0</v>
      </c>
      <c r="K64" s="3">
        <f>IFERROR(__xludf.DUMMYFUNCTION("""COMPUTED_VALUE"""),0.0)</f>
        <v>0</v>
      </c>
      <c r="L64" s="3">
        <f>IFERROR(__xludf.DUMMYFUNCTION("""COMPUTED_VALUE"""),0.0)</f>
        <v>0</v>
      </c>
      <c r="M64" s="3">
        <f>IFERROR(__xludf.DUMMYFUNCTION("""COMPUTED_VALUE"""),0.0)</f>
        <v>0</v>
      </c>
      <c r="N64" s="3">
        <f>IFERROR(__xludf.DUMMYFUNCTION("""COMPUTED_VALUE"""),0.0)</f>
        <v>0</v>
      </c>
      <c r="O64" s="3">
        <f>IFERROR(__xludf.DUMMYFUNCTION("""COMPUTED_VALUE"""),0.0)</f>
        <v>0</v>
      </c>
      <c r="P64" s="3">
        <f>IFERROR(__xludf.DUMMYFUNCTION("""COMPUTED_VALUE"""),3.0)</f>
        <v>3</v>
      </c>
      <c r="Q64" s="3">
        <f>IFERROR(__xludf.DUMMYFUNCTION("""COMPUTED_VALUE"""),1.0)</f>
        <v>1</v>
      </c>
      <c r="S64" s="3">
        <v>1.0</v>
      </c>
      <c r="T64" s="3">
        <v>6.0</v>
      </c>
      <c r="U64" s="3">
        <v>0.0</v>
      </c>
      <c r="V64" s="3">
        <v>0.0</v>
      </c>
      <c r="W64" s="3">
        <v>0.0</v>
      </c>
      <c r="X64" s="3">
        <v>0.0</v>
      </c>
      <c r="Y64" s="3">
        <v>0.0</v>
      </c>
      <c r="Z64" s="2">
        <v>1.0</v>
      </c>
      <c r="AA64" s="3">
        <v>0.0</v>
      </c>
      <c r="AB64" s="3">
        <v>0.0</v>
      </c>
      <c r="AC64" s="3">
        <v>0.0</v>
      </c>
      <c r="AD64" s="3">
        <v>0.0</v>
      </c>
      <c r="AE64" s="3">
        <v>0.0</v>
      </c>
      <c r="AF64" s="3">
        <v>0.0</v>
      </c>
      <c r="AG64" s="3">
        <v>3.0</v>
      </c>
      <c r="AH64" s="3">
        <v>1.0</v>
      </c>
    </row>
    <row r="65">
      <c r="A65" s="2" t="s">
        <v>3</v>
      </c>
      <c r="B65" s="3">
        <f>IFERROR(__xludf.DUMMYFUNCTION("split(A65,""{,}"")"),1.0)</f>
        <v>1</v>
      </c>
      <c r="C65" s="3">
        <f>IFERROR(__xludf.DUMMYFUNCTION("""COMPUTED_VALUE"""),1.0)</f>
        <v>1</v>
      </c>
      <c r="D65" s="3">
        <f>IFERROR(__xludf.DUMMYFUNCTION("""COMPUTED_VALUE"""),1.0)</f>
        <v>1</v>
      </c>
      <c r="E65" s="3">
        <f>IFERROR(__xludf.DUMMYFUNCTION("""COMPUTED_VALUE"""),1.0)</f>
        <v>1</v>
      </c>
      <c r="F65" s="3">
        <f>IFERROR(__xludf.DUMMYFUNCTION("""COMPUTED_VALUE"""),1.0)</f>
        <v>1</v>
      </c>
      <c r="G65" s="3">
        <f>IFERROR(__xludf.DUMMYFUNCTION("""COMPUTED_VALUE"""),1.0)</f>
        <v>1</v>
      </c>
      <c r="H65" s="3">
        <f>IFERROR(__xludf.DUMMYFUNCTION("""COMPUTED_VALUE"""),1.0)</f>
        <v>1</v>
      </c>
      <c r="I65" s="3">
        <f>IFERROR(__xludf.DUMMYFUNCTION("""COMPUTED_VALUE"""),1.0)</f>
        <v>1</v>
      </c>
      <c r="J65" s="3">
        <f>IFERROR(__xludf.DUMMYFUNCTION("""COMPUTED_VALUE"""),1.0)</f>
        <v>1</v>
      </c>
      <c r="K65" s="3">
        <f>IFERROR(__xludf.DUMMYFUNCTION("""COMPUTED_VALUE"""),1.0)</f>
        <v>1</v>
      </c>
      <c r="L65" s="3">
        <f>IFERROR(__xludf.DUMMYFUNCTION("""COMPUTED_VALUE"""),1.0)</f>
        <v>1</v>
      </c>
      <c r="M65" s="3">
        <f>IFERROR(__xludf.DUMMYFUNCTION("""COMPUTED_VALUE"""),1.0)</f>
        <v>1</v>
      </c>
      <c r="N65" s="3">
        <f>IFERROR(__xludf.DUMMYFUNCTION("""COMPUTED_VALUE"""),1.0)</f>
        <v>1</v>
      </c>
      <c r="O65" s="3">
        <f>IFERROR(__xludf.DUMMYFUNCTION("""COMPUTED_VALUE"""),1.0)</f>
        <v>1</v>
      </c>
      <c r="P65" s="3">
        <f>IFERROR(__xludf.DUMMYFUNCTION("""COMPUTED_VALUE"""),1.0)</f>
        <v>1</v>
      </c>
      <c r="Q65" s="3">
        <f>IFERROR(__xludf.DUMMYFUNCTION("""COMPUTED_VALUE"""),1.0)</f>
        <v>1</v>
      </c>
      <c r="S65" s="3">
        <v>1.0</v>
      </c>
      <c r="T65" s="3">
        <v>1.0</v>
      </c>
      <c r="U65" s="3">
        <v>1.0</v>
      </c>
      <c r="V65" s="3">
        <v>1.0</v>
      </c>
      <c r="W65" s="3">
        <v>1.0</v>
      </c>
      <c r="X65" s="3">
        <v>1.0</v>
      </c>
      <c r="Y65" s="3">
        <v>1.0</v>
      </c>
      <c r="Z65" s="3">
        <v>1.0</v>
      </c>
      <c r="AA65" s="3">
        <v>1.0</v>
      </c>
      <c r="AB65" s="3">
        <v>1.0</v>
      </c>
      <c r="AC65" s="3">
        <v>1.0</v>
      </c>
      <c r="AD65" s="3">
        <v>1.0</v>
      </c>
      <c r="AE65" s="3">
        <v>1.0</v>
      </c>
      <c r="AF65" s="3">
        <v>1.0</v>
      </c>
      <c r="AG65" s="3">
        <v>1.0</v>
      </c>
      <c r="AH65" s="3">
        <v>1.0</v>
      </c>
    </row>
    <row r="67">
      <c r="A67" s="2">
        <v>4.1</v>
      </c>
    </row>
    <row r="68">
      <c r="A68" s="2" t="s">
        <v>3</v>
      </c>
      <c r="B68" s="3">
        <f>IFERROR(__xludf.DUMMYFUNCTION("split(A68,""{,}"")"),1.0)</f>
        <v>1</v>
      </c>
      <c r="C68" s="3">
        <f>IFERROR(__xludf.DUMMYFUNCTION("""COMPUTED_VALUE"""),1.0)</f>
        <v>1</v>
      </c>
      <c r="D68" s="3">
        <f>IFERROR(__xludf.DUMMYFUNCTION("""COMPUTED_VALUE"""),1.0)</f>
        <v>1</v>
      </c>
      <c r="E68" s="3">
        <f>IFERROR(__xludf.DUMMYFUNCTION("""COMPUTED_VALUE"""),1.0)</f>
        <v>1</v>
      </c>
      <c r="F68" s="3">
        <f>IFERROR(__xludf.DUMMYFUNCTION("""COMPUTED_VALUE"""),1.0)</f>
        <v>1</v>
      </c>
      <c r="G68" s="3">
        <f>IFERROR(__xludf.DUMMYFUNCTION("""COMPUTED_VALUE"""),1.0)</f>
        <v>1</v>
      </c>
      <c r="H68" s="3">
        <f>IFERROR(__xludf.DUMMYFUNCTION("""COMPUTED_VALUE"""),1.0)</f>
        <v>1</v>
      </c>
      <c r="I68" s="3">
        <f>IFERROR(__xludf.DUMMYFUNCTION("""COMPUTED_VALUE"""),1.0)</f>
        <v>1</v>
      </c>
      <c r="J68" s="3">
        <f>IFERROR(__xludf.DUMMYFUNCTION("""COMPUTED_VALUE"""),1.0)</f>
        <v>1</v>
      </c>
      <c r="K68" s="3">
        <f>IFERROR(__xludf.DUMMYFUNCTION("""COMPUTED_VALUE"""),1.0)</f>
        <v>1</v>
      </c>
      <c r="L68" s="3">
        <f>IFERROR(__xludf.DUMMYFUNCTION("""COMPUTED_VALUE"""),1.0)</f>
        <v>1</v>
      </c>
      <c r="M68" s="3">
        <f>IFERROR(__xludf.DUMMYFUNCTION("""COMPUTED_VALUE"""),1.0)</f>
        <v>1</v>
      </c>
      <c r="N68" s="3">
        <f>IFERROR(__xludf.DUMMYFUNCTION("""COMPUTED_VALUE"""),1.0)</f>
        <v>1</v>
      </c>
      <c r="O68" s="3">
        <f>IFERROR(__xludf.DUMMYFUNCTION("""COMPUTED_VALUE"""),1.0)</f>
        <v>1</v>
      </c>
      <c r="P68" s="3">
        <f>IFERROR(__xludf.DUMMYFUNCTION("""COMPUTED_VALUE"""),1.0)</f>
        <v>1</v>
      </c>
      <c r="Q68" s="3">
        <f>IFERROR(__xludf.DUMMYFUNCTION("""COMPUTED_VALUE"""),1.0)</f>
        <v>1</v>
      </c>
      <c r="S68" s="3">
        <v>1.0</v>
      </c>
      <c r="T68" s="3">
        <v>1.0</v>
      </c>
      <c r="U68" s="3">
        <v>1.0</v>
      </c>
      <c r="V68" s="3">
        <v>1.0</v>
      </c>
      <c r="W68" s="3">
        <v>1.0</v>
      </c>
      <c r="X68" s="3">
        <v>1.0</v>
      </c>
      <c r="Y68" s="3">
        <v>1.0</v>
      </c>
      <c r="Z68" s="3">
        <v>1.0</v>
      </c>
      <c r="AA68" s="3">
        <v>1.0</v>
      </c>
      <c r="AB68" s="3">
        <v>1.0</v>
      </c>
      <c r="AC68" s="3">
        <v>1.0</v>
      </c>
      <c r="AD68" s="3">
        <v>1.0</v>
      </c>
      <c r="AE68" s="3">
        <v>1.0</v>
      </c>
      <c r="AF68" s="3">
        <v>1.0</v>
      </c>
      <c r="AG68" s="3">
        <v>1.0</v>
      </c>
      <c r="AH68" s="3">
        <v>1.0</v>
      </c>
    </row>
    <row r="69">
      <c r="A69" s="2" t="s">
        <v>27</v>
      </c>
      <c r="B69" s="3">
        <f>IFERROR(__xludf.DUMMYFUNCTION("split(A69,""{,}"")"),1.0)</f>
        <v>1</v>
      </c>
      <c r="C69" s="3">
        <f>IFERROR(__xludf.DUMMYFUNCTION("""COMPUTED_VALUE"""),0.0)</f>
        <v>0</v>
      </c>
      <c r="D69" s="3">
        <f>IFERROR(__xludf.DUMMYFUNCTION("""COMPUTED_VALUE"""),0.0)</f>
        <v>0</v>
      </c>
      <c r="E69" s="3">
        <f>IFERROR(__xludf.DUMMYFUNCTION("""COMPUTED_VALUE"""),0.0)</f>
        <v>0</v>
      </c>
      <c r="F69" s="3">
        <f>IFERROR(__xludf.DUMMYFUNCTION("""COMPUTED_VALUE"""),1.0)</f>
        <v>1</v>
      </c>
      <c r="G69" s="3">
        <f>IFERROR(__xludf.DUMMYFUNCTION("""COMPUTED_VALUE"""),0.0)</f>
        <v>0</v>
      </c>
      <c r="H69" s="3">
        <f>IFERROR(__xludf.DUMMYFUNCTION("""COMPUTED_VALUE"""),0.0)</f>
        <v>0</v>
      </c>
      <c r="I69" s="3">
        <f>IFERROR(__xludf.DUMMYFUNCTION("""COMPUTED_VALUE"""),0.0)</f>
        <v>0</v>
      </c>
      <c r="J69" s="3">
        <f>IFERROR(__xludf.DUMMYFUNCTION("""COMPUTED_VALUE"""),0.0)</f>
        <v>0</v>
      </c>
      <c r="K69" s="3">
        <f>IFERROR(__xludf.DUMMYFUNCTION("""COMPUTED_VALUE"""),4.0)</f>
        <v>4</v>
      </c>
      <c r="L69" s="3">
        <f>IFERROR(__xludf.DUMMYFUNCTION("""COMPUTED_VALUE"""),1.0)</f>
        <v>1</v>
      </c>
      <c r="M69" s="3">
        <f>IFERROR(__xludf.DUMMYFUNCTION("""COMPUTED_VALUE"""),0.0)</f>
        <v>0</v>
      </c>
      <c r="N69" s="3">
        <f>IFERROR(__xludf.DUMMYFUNCTION("""COMPUTED_VALUE"""),0.0)</f>
        <v>0</v>
      </c>
      <c r="O69" s="3">
        <f>IFERROR(__xludf.DUMMYFUNCTION("""COMPUTED_VALUE"""),0.0)</f>
        <v>0</v>
      </c>
      <c r="P69" s="3">
        <f>IFERROR(__xludf.DUMMYFUNCTION("""COMPUTED_VALUE"""),0.0)</f>
        <v>0</v>
      </c>
      <c r="Q69" s="3">
        <f>IFERROR(__xludf.DUMMYFUNCTION("""COMPUTED_VALUE"""),1.0)</f>
        <v>1</v>
      </c>
      <c r="S69" s="3">
        <v>1.0</v>
      </c>
      <c r="T69" s="2">
        <v>6.0</v>
      </c>
      <c r="U69" s="3">
        <v>0.0</v>
      </c>
      <c r="V69" s="3">
        <v>0.0</v>
      </c>
      <c r="W69" s="3">
        <v>1.0</v>
      </c>
      <c r="X69" s="3">
        <v>0.0</v>
      </c>
      <c r="Y69" s="3">
        <v>0.0</v>
      </c>
      <c r="Z69" s="3">
        <v>0.0</v>
      </c>
      <c r="AA69" s="3">
        <v>0.0</v>
      </c>
      <c r="AB69" s="3">
        <v>4.0</v>
      </c>
      <c r="AC69" s="3">
        <v>1.0</v>
      </c>
      <c r="AD69" s="3">
        <v>0.0</v>
      </c>
      <c r="AE69" s="3">
        <v>0.0</v>
      </c>
      <c r="AF69" s="3">
        <v>0.0</v>
      </c>
      <c r="AG69" s="3">
        <v>0.0</v>
      </c>
      <c r="AH69" s="3">
        <v>1.0</v>
      </c>
    </row>
    <row r="70">
      <c r="A70" s="2" t="s">
        <v>39</v>
      </c>
      <c r="B70" s="3">
        <f>IFERROR(__xludf.DUMMYFUNCTION("split(A70,""{,}"")"),1.0)</f>
        <v>1</v>
      </c>
      <c r="C70" s="3">
        <f>IFERROR(__xludf.DUMMYFUNCTION("""COMPUTED_VALUE"""),1.0)</f>
        <v>1</v>
      </c>
      <c r="D70" s="3">
        <f>IFERROR(__xludf.DUMMYFUNCTION("""COMPUTED_VALUE"""),0.0)</f>
        <v>0</v>
      </c>
      <c r="E70" s="3">
        <f>IFERROR(__xludf.DUMMYFUNCTION("""COMPUTED_VALUE"""),1.0)</f>
        <v>1</v>
      </c>
      <c r="F70" s="3">
        <f>IFERROR(__xludf.DUMMYFUNCTION("""COMPUTED_VALUE"""),1.0)</f>
        <v>1</v>
      </c>
      <c r="G70" s="3">
        <f>IFERROR(__xludf.DUMMYFUNCTION("""COMPUTED_VALUE"""),0.0)</f>
        <v>0</v>
      </c>
      <c r="H70" s="3">
        <f>IFERROR(__xludf.DUMMYFUNCTION("""COMPUTED_VALUE"""),1.0)</f>
        <v>1</v>
      </c>
      <c r="I70" s="3">
        <f>IFERROR(__xludf.DUMMYFUNCTION("""COMPUTED_VALUE"""),1.0)</f>
        <v>1</v>
      </c>
      <c r="J70" s="3">
        <f>IFERROR(__xludf.DUMMYFUNCTION("""COMPUTED_VALUE"""),1.0)</f>
        <v>1</v>
      </c>
      <c r="K70" s="3">
        <f>IFERROR(__xludf.DUMMYFUNCTION("""COMPUTED_VALUE"""),0.0)</f>
        <v>0</v>
      </c>
      <c r="L70" s="3">
        <f>IFERROR(__xludf.DUMMYFUNCTION("""COMPUTED_VALUE"""),1.0)</f>
        <v>1</v>
      </c>
      <c r="M70" s="3">
        <f>IFERROR(__xludf.DUMMYFUNCTION("""COMPUTED_VALUE"""),0.0)</f>
        <v>0</v>
      </c>
      <c r="N70" s="3">
        <f>IFERROR(__xludf.DUMMYFUNCTION("""COMPUTED_VALUE"""),1.0)</f>
        <v>1</v>
      </c>
      <c r="O70" s="3">
        <f>IFERROR(__xludf.DUMMYFUNCTION("""COMPUTED_VALUE"""),1.0)</f>
        <v>1</v>
      </c>
      <c r="P70" s="3">
        <f>IFERROR(__xludf.DUMMYFUNCTION("""COMPUTED_VALUE"""),0.0)</f>
        <v>0</v>
      </c>
      <c r="Q70" s="3">
        <f>IFERROR(__xludf.DUMMYFUNCTION("""COMPUTED_VALUE"""),1.0)</f>
        <v>1</v>
      </c>
      <c r="S70" s="3">
        <v>1.0</v>
      </c>
      <c r="T70" s="3">
        <v>1.0</v>
      </c>
      <c r="U70" s="3">
        <v>0.0</v>
      </c>
      <c r="V70" s="3">
        <v>1.0</v>
      </c>
      <c r="W70" s="3">
        <v>1.0</v>
      </c>
      <c r="X70" s="3">
        <v>0.0</v>
      </c>
      <c r="Y70" s="3">
        <v>1.0</v>
      </c>
      <c r="Z70" s="3">
        <v>1.0</v>
      </c>
      <c r="AA70" s="3">
        <v>1.0</v>
      </c>
      <c r="AB70" s="3">
        <v>0.0</v>
      </c>
      <c r="AC70" s="3">
        <v>1.0</v>
      </c>
      <c r="AD70" s="3">
        <v>0.0</v>
      </c>
      <c r="AE70" s="3">
        <v>1.0</v>
      </c>
      <c r="AF70" s="3">
        <v>1.0</v>
      </c>
      <c r="AG70" s="3">
        <v>0.0</v>
      </c>
      <c r="AH70" s="3">
        <v>1.0</v>
      </c>
    </row>
    <row r="71">
      <c r="A71" s="2" t="s">
        <v>40</v>
      </c>
      <c r="B71" s="3">
        <f>IFERROR(__xludf.DUMMYFUNCTION("split(A71,""{,}"")"),1.0)</f>
        <v>1</v>
      </c>
      <c r="C71" s="3">
        <f>IFERROR(__xludf.DUMMYFUNCTION("""COMPUTED_VALUE"""),0.0)</f>
        <v>0</v>
      </c>
      <c r="D71" s="3">
        <f>IFERROR(__xludf.DUMMYFUNCTION("""COMPUTED_VALUE"""),0.0)</f>
        <v>0</v>
      </c>
      <c r="E71" s="3">
        <f>IFERROR(__xludf.DUMMYFUNCTION("""COMPUTED_VALUE"""),0.0)</f>
        <v>0</v>
      </c>
      <c r="F71" s="3">
        <f>IFERROR(__xludf.DUMMYFUNCTION("""COMPUTED_VALUE"""),0.0)</f>
        <v>0</v>
      </c>
      <c r="G71" s="3">
        <f>IFERROR(__xludf.DUMMYFUNCTION("""COMPUTED_VALUE"""),0.0)</f>
        <v>0</v>
      </c>
      <c r="H71" s="3">
        <f>IFERROR(__xludf.DUMMYFUNCTION("""COMPUTED_VALUE"""),0.0)</f>
        <v>0</v>
      </c>
      <c r="I71" s="3">
        <f>IFERROR(__xludf.DUMMYFUNCTION("""COMPUTED_VALUE"""),1.0)</f>
        <v>1</v>
      </c>
      <c r="J71" s="3">
        <f>IFERROR(__xludf.DUMMYFUNCTION("""COMPUTED_VALUE"""),0.0)</f>
        <v>0</v>
      </c>
      <c r="K71" s="3">
        <f>IFERROR(__xludf.DUMMYFUNCTION("""COMPUTED_VALUE"""),0.0)</f>
        <v>0</v>
      </c>
      <c r="L71" s="3">
        <f>IFERROR(__xludf.DUMMYFUNCTION("""COMPUTED_VALUE"""),0.0)</f>
        <v>0</v>
      </c>
      <c r="M71" s="3">
        <f>IFERROR(__xludf.DUMMYFUNCTION("""COMPUTED_VALUE"""),0.0)</f>
        <v>0</v>
      </c>
      <c r="N71" s="3">
        <f>IFERROR(__xludf.DUMMYFUNCTION("""COMPUTED_VALUE"""),2.0)</f>
        <v>2</v>
      </c>
      <c r="O71" s="3">
        <f>IFERROR(__xludf.DUMMYFUNCTION("""COMPUTED_VALUE"""),0.0)</f>
        <v>0</v>
      </c>
      <c r="P71" s="3">
        <f>IFERROR(__xludf.DUMMYFUNCTION("""COMPUTED_VALUE"""),0.0)</f>
        <v>0</v>
      </c>
      <c r="Q71" s="3">
        <f>IFERROR(__xludf.DUMMYFUNCTION("""COMPUTED_VALUE"""),1.0)</f>
        <v>1</v>
      </c>
      <c r="S71" s="3">
        <v>1.0</v>
      </c>
      <c r="T71" s="3">
        <v>0.0</v>
      </c>
      <c r="U71" s="3">
        <v>0.0</v>
      </c>
      <c r="V71" s="3">
        <v>0.0</v>
      </c>
      <c r="W71" s="3">
        <v>0.0</v>
      </c>
      <c r="X71" s="3">
        <v>0.0</v>
      </c>
      <c r="Y71" s="3">
        <v>0.0</v>
      </c>
      <c r="Z71" s="3">
        <v>1.0</v>
      </c>
      <c r="AA71" s="3">
        <v>0.0</v>
      </c>
      <c r="AB71" s="3">
        <v>0.0</v>
      </c>
      <c r="AC71" s="3">
        <v>0.0</v>
      </c>
      <c r="AD71" s="3">
        <v>0.0</v>
      </c>
      <c r="AE71" s="3">
        <v>2.0</v>
      </c>
      <c r="AF71" s="3">
        <v>0.0</v>
      </c>
      <c r="AG71" s="3">
        <v>0.0</v>
      </c>
      <c r="AH71" s="3">
        <v>1.0</v>
      </c>
    </row>
    <row r="72">
      <c r="A72" s="2" t="s">
        <v>41</v>
      </c>
      <c r="B72" s="3">
        <f>IFERROR(__xludf.DUMMYFUNCTION("split(A72,""{,}"")"),1.0)</f>
        <v>1</v>
      </c>
      <c r="C72" s="3">
        <f>IFERROR(__xludf.DUMMYFUNCTION("""COMPUTED_VALUE"""),0.0)</f>
        <v>0</v>
      </c>
      <c r="D72" s="3">
        <f>IFERROR(__xludf.DUMMYFUNCTION("""COMPUTED_VALUE"""),1.0)</f>
        <v>1</v>
      </c>
      <c r="E72" s="3">
        <f>IFERROR(__xludf.DUMMYFUNCTION("""COMPUTED_VALUE"""),1.0)</f>
        <v>1</v>
      </c>
      <c r="F72" s="3">
        <f>IFERROR(__xludf.DUMMYFUNCTION("""COMPUTED_VALUE"""),1.0)</f>
        <v>1</v>
      </c>
      <c r="G72" s="3">
        <f>IFERROR(__xludf.DUMMYFUNCTION("""COMPUTED_VALUE"""),0.0)</f>
        <v>0</v>
      </c>
      <c r="H72" s="3">
        <f>IFERROR(__xludf.DUMMYFUNCTION("""COMPUTED_VALUE"""),1.0)</f>
        <v>1</v>
      </c>
      <c r="I72" s="3">
        <f>IFERROR(__xludf.DUMMYFUNCTION("""COMPUTED_VALUE"""),1.0)</f>
        <v>1</v>
      </c>
      <c r="J72" s="3">
        <f>IFERROR(__xludf.DUMMYFUNCTION("""COMPUTED_VALUE"""),1.0)</f>
        <v>1</v>
      </c>
      <c r="K72" s="3">
        <f>IFERROR(__xludf.DUMMYFUNCTION("""COMPUTED_VALUE"""),1.0)</f>
        <v>1</v>
      </c>
      <c r="L72" s="3">
        <f>IFERROR(__xludf.DUMMYFUNCTION("""COMPUTED_VALUE"""),0.0)</f>
        <v>0</v>
      </c>
      <c r="M72" s="3">
        <f>IFERROR(__xludf.DUMMYFUNCTION("""COMPUTED_VALUE"""),1.0)</f>
        <v>1</v>
      </c>
      <c r="N72" s="3">
        <f>IFERROR(__xludf.DUMMYFUNCTION("""COMPUTED_VALUE"""),1.0)</f>
        <v>1</v>
      </c>
      <c r="O72" s="3">
        <f>IFERROR(__xludf.DUMMYFUNCTION("""COMPUTED_VALUE"""),1.0)</f>
        <v>1</v>
      </c>
      <c r="P72" s="3">
        <f>IFERROR(__xludf.DUMMYFUNCTION("""COMPUTED_VALUE"""),1.0)</f>
        <v>1</v>
      </c>
      <c r="Q72" s="3">
        <f>IFERROR(__xludf.DUMMYFUNCTION("""COMPUTED_VALUE"""),1.0)</f>
        <v>1</v>
      </c>
      <c r="S72" s="3">
        <v>1.0</v>
      </c>
      <c r="T72" s="2">
        <v>1.0</v>
      </c>
      <c r="U72" s="3">
        <v>1.0</v>
      </c>
      <c r="V72" s="3">
        <v>1.0</v>
      </c>
      <c r="W72" s="3">
        <v>1.0</v>
      </c>
      <c r="X72" s="2">
        <v>1.0</v>
      </c>
      <c r="Y72" s="3">
        <v>1.0</v>
      </c>
      <c r="Z72" s="3">
        <v>1.0</v>
      </c>
      <c r="AA72" s="3">
        <v>1.0</v>
      </c>
      <c r="AB72" s="3">
        <v>1.0</v>
      </c>
      <c r="AC72" s="3">
        <v>0.0</v>
      </c>
      <c r="AD72" s="3">
        <v>1.0</v>
      </c>
      <c r="AE72" s="3">
        <v>1.0</v>
      </c>
      <c r="AF72" s="3">
        <v>1.0</v>
      </c>
      <c r="AG72" s="3">
        <v>1.0</v>
      </c>
      <c r="AH72" s="3">
        <v>1.0</v>
      </c>
    </row>
    <row r="73">
      <c r="A73" s="2" t="s">
        <v>18</v>
      </c>
      <c r="B73" s="3">
        <f>IFERROR(__xludf.DUMMYFUNCTION("split(A73,""{,}"")"),1.0)</f>
        <v>1</v>
      </c>
      <c r="C73" s="3">
        <f>IFERROR(__xludf.DUMMYFUNCTION("""COMPUTED_VALUE"""),0.0)</f>
        <v>0</v>
      </c>
      <c r="D73" s="3">
        <f>IFERROR(__xludf.DUMMYFUNCTION("""COMPUTED_VALUE"""),0.0)</f>
        <v>0</v>
      </c>
      <c r="E73" s="3">
        <f>IFERROR(__xludf.DUMMYFUNCTION("""COMPUTED_VALUE"""),0.0)</f>
        <v>0</v>
      </c>
      <c r="F73" s="3">
        <f>IFERROR(__xludf.DUMMYFUNCTION("""COMPUTED_VALUE"""),0.0)</f>
        <v>0</v>
      </c>
      <c r="G73" s="3">
        <f>IFERROR(__xludf.DUMMYFUNCTION("""COMPUTED_VALUE"""),0.0)</f>
        <v>0</v>
      </c>
      <c r="H73" s="3">
        <f>IFERROR(__xludf.DUMMYFUNCTION("""COMPUTED_VALUE"""),0.0)</f>
        <v>0</v>
      </c>
      <c r="I73" s="3">
        <f>IFERROR(__xludf.DUMMYFUNCTION("""COMPUTED_VALUE"""),0.0)</f>
        <v>0</v>
      </c>
      <c r="J73" s="3">
        <f>IFERROR(__xludf.DUMMYFUNCTION("""COMPUTED_VALUE"""),0.0)</f>
        <v>0</v>
      </c>
      <c r="K73" s="3">
        <f>IFERROR(__xludf.DUMMYFUNCTION("""COMPUTED_VALUE"""),0.0)</f>
        <v>0</v>
      </c>
      <c r="L73" s="3">
        <f>IFERROR(__xludf.DUMMYFUNCTION("""COMPUTED_VALUE"""),0.0)</f>
        <v>0</v>
      </c>
      <c r="M73" s="3">
        <f>IFERROR(__xludf.DUMMYFUNCTION("""COMPUTED_VALUE"""),0.0)</f>
        <v>0</v>
      </c>
      <c r="N73" s="3">
        <f>IFERROR(__xludf.DUMMYFUNCTION("""COMPUTED_VALUE"""),0.0)</f>
        <v>0</v>
      </c>
      <c r="O73" s="3">
        <f>IFERROR(__xludf.DUMMYFUNCTION("""COMPUTED_VALUE"""),0.0)</f>
        <v>0</v>
      </c>
      <c r="P73" s="3">
        <f>IFERROR(__xludf.DUMMYFUNCTION("""COMPUTED_VALUE"""),0.0)</f>
        <v>0</v>
      </c>
      <c r="Q73" s="3">
        <f>IFERROR(__xludf.DUMMYFUNCTION("""COMPUTED_VALUE"""),1.0)</f>
        <v>1</v>
      </c>
      <c r="S73" s="3">
        <v>1.0</v>
      </c>
      <c r="T73" s="2">
        <v>5.0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0.0</v>
      </c>
      <c r="AA73" s="3">
        <v>0.0</v>
      </c>
      <c r="AB73" s="3">
        <v>0.0</v>
      </c>
      <c r="AC73" s="3">
        <v>0.0</v>
      </c>
      <c r="AD73" s="3">
        <v>0.0</v>
      </c>
      <c r="AE73" s="3">
        <v>0.0</v>
      </c>
      <c r="AF73" s="3">
        <v>0.0</v>
      </c>
      <c r="AG73" s="2">
        <v>5.0</v>
      </c>
      <c r="AH73" s="3">
        <v>1.0</v>
      </c>
    </row>
    <row r="74">
      <c r="A74" s="2" t="s">
        <v>42</v>
      </c>
      <c r="B74" s="3">
        <f>IFERROR(__xludf.DUMMYFUNCTION("split(A74,""{,}"")"),1.0)</f>
        <v>1</v>
      </c>
      <c r="C74" s="3">
        <f>IFERROR(__xludf.DUMMYFUNCTION("""COMPUTED_VALUE"""),1.0)</f>
        <v>1</v>
      </c>
      <c r="D74" s="3">
        <f>IFERROR(__xludf.DUMMYFUNCTION("""COMPUTED_VALUE"""),0.0)</f>
        <v>0</v>
      </c>
      <c r="E74" s="3">
        <f>IFERROR(__xludf.DUMMYFUNCTION("""COMPUTED_VALUE"""),1.0)</f>
        <v>1</v>
      </c>
      <c r="F74" s="3">
        <f>IFERROR(__xludf.DUMMYFUNCTION("""COMPUTED_VALUE"""),5.0)</f>
        <v>5</v>
      </c>
      <c r="G74" s="3">
        <f>IFERROR(__xludf.DUMMYFUNCTION("""COMPUTED_VALUE"""),1.0)</f>
        <v>1</v>
      </c>
      <c r="H74" s="3">
        <f>IFERROR(__xludf.DUMMYFUNCTION("""COMPUTED_VALUE"""),1.0)</f>
        <v>1</v>
      </c>
      <c r="I74" s="3">
        <f>IFERROR(__xludf.DUMMYFUNCTION("""COMPUTED_VALUE"""),0.0)</f>
        <v>0</v>
      </c>
      <c r="J74" s="3">
        <f>IFERROR(__xludf.DUMMYFUNCTION("""COMPUTED_VALUE"""),1.0)</f>
        <v>1</v>
      </c>
      <c r="K74" s="3">
        <f>IFERROR(__xludf.DUMMYFUNCTION("""COMPUTED_VALUE"""),0.0)</f>
        <v>0</v>
      </c>
      <c r="L74" s="3">
        <f>IFERROR(__xludf.DUMMYFUNCTION("""COMPUTED_VALUE"""),5.0)</f>
        <v>5</v>
      </c>
      <c r="M74" s="3">
        <f>IFERROR(__xludf.DUMMYFUNCTION("""COMPUTED_VALUE"""),1.0)</f>
        <v>1</v>
      </c>
      <c r="N74" s="3">
        <f>IFERROR(__xludf.DUMMYFUNCTION("""COMPUTED_VALUE"""),0.0)</f>
        <v>0</v>
      </c>
      <c r="O74" s="3">
        <f>IFERROR(__xludf.DUMMYFUNCTION("""COMPUTED_VALUE"""),1.0)</f>
        <v>1</v>
      </c>
      <c r="P74" s="3">
        <f>IFERROR(__xludf.DUMMYFUNCTION("""COMPUTED_VALUE"""),1.0)</f>
        <v>1</v>
      </c>
      <c r="Q74" s="3">
        <f>IFERROR(__xludf.DUMMYFUNCTION("""COMPUTED_VALUE"""),1.0)</f>
        <v>1</v>
      </c>
      <c r="S74" s="3">
        <v>1.0</v>
      </c>
      <c r="T74" s="3">
        <v>1.0</v>
      </c>
      <c r="U74" s="3">
        <v>0.0</v>
      </c>
      <c r="V74" s="3">
        <v>1.0</v>
      </c>
      <c r="W74" s="3">
        <v>5.0</v>
      </c>
      <c r="X74" s="3">
        <v>1.0</v>
      </c>
      <c r="Y74" s="3">
        <v>1.0</v>
      </c>
      <c r="Z74" s="3">
        <v>0.0</v>
      </c>
      <c r="AA74" s="3">
        <v>1.0</v>
      </c>
      <c r="AB74" s="3">
        <v>0.0</v>
      </c>
      <c r="AC74" s="3">
        <v>5.0</v>
      </c>
      <c r="AD74" s="3">
        <v>1.0</v>
      </c>
      <c r="AE74" s="3">
        <v>0.0</v>
      </c>
      <c r="AF74" s="3">
        <v>1.0</v>
      </c>
      <c r="AG74" s="3">
        <v>1.0</v>
      </c>
      <c r="AH74" s="3">
        <v>1.0</v>
      </c>
    </row>
    <row r="75">
      <c r="A75" s="2" t="s">
        <v>32</v>
      </c>
      <c r="B75" s="3">
        <f>IFERROR(__xludf.DUMMYFUNCTION("split(A75,""{,}"")"),1.0)</f>
        <v>1</v>
      </c>
      <c r="C75" s="3">
        <f>IFERROR(__xludf.DUMMYFUNCTION("""COMPUTED_VALUE"""),0.0)</f>
        <v>0</v>
      </c>
      <c r="D75" s="3">
        <f>IFERROR(__xludf.DUMMYFUNCTION("""COMPUTED_VALUE"""),0.0)</f>
        <v>0</v>
      </c>
      <c r="E75" s="3">
        <f>IFERROR(__xludf.DUMMYFUNCTION("""COMPUTED_VALUE"""),0.0)</f>
        <v>0</v>
      </c>
      <c r="F75" s="3">
        <f>IFERROR(__xludf.DUMMYFUNCTION("""COMPUTED_VALUE"""),0.0)</f>
        <v>0</v>
      </c>
      <c r="G75" s="3">
        <f>IFERROR(__xludf.DUMMYFUNCTION("""COMPUTED_VALUE"""),0.0)</f>
        <v>0</v>
      </c>
      <c r="H75" s="3">
        <f>IFERROR(__xludf.DUMMYFUNCTION("""COMPUTED_VALUE"""),0.0)</f>
        <v>0</v>
      </c>
      <c r="I75" s="3">
        <f>IFERROR(__xludf.DUMMYFUNCTION("""COMPUTED_VALUE"""),0.0)</f>
        <v>0</v>
      </c>
      <c r="J75" s="3">
        <f>IFERROR(__xludf.DUMMYFUNCTION("""COMPUTED_VALUE"""),0.0)</f>
        <v>0</v>
      </c>
      <c r="K75" s="3">
        <f>IFERROR(__xludf.DUMMYFUNCTION("""COMPUTED_VALUE"""),0.0)</f>
        <v>0</v>
      </c>
      <c r="L75" s="3">
        <f>IFERROR(__xludf.DUMMYFUNCTION("""COMPUTED_VALUE"""),0.0)</f>
        <v>0</v>
      </c>
      <c r="M75" s="3">
        <f>IFERROR(__xludf.DUMMYFUNCTION("""COMPUTED_VALUE"""),0.0)</f>
        <v>0</v>
      </c>
      <c r="N75" s="3">
        <f>IFERROR(__xludf.DUMMYFUNCTION("""COMPUTED_VALUE"""),0.0)</f>
        <v>0</v>
      </c>
      <c r="O75" s="3">
        <f>IFERROR(__xludf.DUMMYFUNCTION("""COMPUTED_VALUE"""),0.0)</f>
        <v>0</v>
      </c>
      <c r="P75" s="3">
        <f>IFERROR(__xludf.DUMMYFUNCTION("""COMPUTED_VALUE"""),6.0)</f>
        <v>6</v>
      </c>
      <c r="Q75" s="3">
        <f>IFERROR(__xludf.DUMMYFUNCTION("""COMPUTED_VALUE"""),1.0)</f>
        <v>1</v>
      </c>
      <c r="S75" s="3">
        <v>1.0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0.0</v>
      </c>
      <c r="AA75" s="2">
        <v>1.0</v>
      </c>
      <c r="AB75" s="3">
        <v>0.0</v>
      </c>
      <c r="AC75" s="3">
        <v>0.0</v>
      </c>
      <c r="AD75" s="3">
        <v>0.0</v>
      </c>
      <c r="AE75" s="3">
        <v>0.0</v>
      </c>
      <c r="AF75" s="3">
        <v>0.0</v>
      </c>
      <c r="AG75" s="2">
        <v>4.0</v>
      </c>
      <c r="AH75" s="3">
        <v>1.0</v>
      </c>
    </row>
    <row r="76">
      <c r="A76" s="2" t="s">
        <v>3</v>
      </c>
      <c r="B76" s="3">
        <f>IFERROR(__xludf.DUMMYFUNCTION("split(A76,""{,}"")"),1.0)</f>
        <v>1</v>
      </c>
      <c r="C76" s="3">
        <f>IFERROR(__xludf.DUMMYFUNCTION("""COMPUTED_VALUE"""),1.0)</f>
        <v>1</v>
      </c>
      <c r="D76" s="3">
        <f>IFERROR(__xludf.DUMMYFUNCTION("""COMPUTED_VALUE"""),1.0)</f>
        <v>1</v>
      </c>
      <c r="E76" s="3">
        <f>IFERROR(__xludf.DUMMYFUNCTION("""COMPUTED_VALUE"""),1.0)</f>
        <v>1</v>
      </c>
      <c r="F76" s="3">
        <f>IFERROR(__xludf.DUMMYFUNCTION("""COMPUTED_VALUE"""),1.0)</f>
        <v>1</v>
      </c>
      <c r="G76" s="3">
        <f>IFERROR(__xludf.DUMMYFUNCTION("""COMPUTED_VALUE"""),1.0)</f>
        <v>1</v>
      </c>
      <c r="H76" s="3">
        <f>IFERROR(__xludf.DUMMYFUNCTION("""COMPUTED_VALUE"""),1.0)</f>
        <v>1</v>
      </c>
      <c r="I76" s="3">
        <f>IFERROR(__xludf.DUMMYFUNCTION("""COMPUTED_VALUE"""),1.0)</f>
        <v>1</v>
      </c>
      <c r="J76" s="3">
        <f>IFERROR(__xludf.DUMMYFUNCTION("""COMPUTED_VALUE"""),1.0)</f>
        <v>1</v>
      </c>
      <c r="K76" s="3">
        <f>IFERROR(__xludf.DUMMYFUNCTION("""COMPUTED_VALUE"""),1.0)</f>
        <v>1</v>
      </c>
      <c r="L76" s="3">
        <f>IFERROR(__xludf.DUMMYFUNCTION("""COMPUTED_VALUE"""),1.0)</f>
        <v>1</v>
      </c>
      <c r="M76" s="3">
        <f>IFERROR(__xludf.DUMMYFUNCTION("""COMPUTED_VALUE"""),1.0)</f>
        <v>1</v>
      </c>
      <c r="N76" s="3">
        <f>IFERROR(__xludf.DUMMYFUNCTION("""COMPUTED_VALUE"""),1.0)</f>
        <v>1</v>
      </c>
      <c r="O76" s="3">
        <f>IFERROR(__xludf.DUMMYFUNCTION("""COMPUTED_VALUE"""),1.0)</f>
        <v>1</v>
      </c>
      <c r="P76" s="3">
        <f>IFERROR(__xludf.DUMMYFUNCTION("""COMPUTED_VALUE"""),1.0)</f>
        <v>1</v>
      </c>
      <c r="Q76" s="3">
        <f>IFERROR(__xludf.DUMMYFUNCTION("""COMPUTED_VALUE"""),1.0)</f>
        <v>1</v>
      </c>
      <c r="S76" s="3">
        <v>1.0</v>
      </c>
      <c r="T76" s="3">
        <v>1.0</v>
      </c>
      <c r="U76" s="3">
        <v>1.0</v>
      </c>
      <c r="V76" s="3">
        <v>1.0</v>
      </c>
      <c r="W76" s="3">
        <v>1.0</v>
      </c>
      <c r="X76" s="3">
        <v>1.0</v>
      </c>
      <c r="Y76" s="3">
        <v>1.0</v>
      </c>
      <c r="Z76" s="3">
        <v>1.0</v>
      </c>
      <c r="AA76" s="3">
        <v>1.0</v>
      </c>
      <c r="AB76" s="3">
        <v>1.0</v>
      </c>
      <c r="AC76" s="3">
        <v>1.0</v>
      </c>
      <c r="AD76" s="3">
        <v>1.0</v>
      </c>
      <c r="AE76" s="3">
        <v>1.0</v>
      </c>
      <c r="AF76" s="3">
        <v>1.0</v>
      </c>
      <c r="AG76" s="3">
        <v>1.0</v>
      </c>
      <c r="AH76" s="3">
        <v>1.0</v>
      </c>
    </row>
    <row r="77">
      <c r="A77" s="2" t="s">
        <v>33</v>
      </c>
    </row>
    <row r="78">
      <c r="A78" s="2">
        <v>4.2</v>
      </c>
    </row>
    <row r="79">
      <c r="A79" s="2" t="s">
        <v>3</v>
      </c>
      <c r="B79" s="3">
        <f>IFERROR(__xludf.DUMMYFUNCTION("split(A79,""{,}"")"),1.0)</f>
        <v>1</v>
      </c>
      <c r="C79" s="3">
        <f>IFERROR(__xludf.DUMMYFUNCTION("""COMPUTED_VALUE"""),1.0)</f>
        <v>1</v>
      </c>
      <c r="D79" s="3">
        <f>IFERROR(__xludf.DUMMYFUNCTION("""COMPUTED_VALUE"""),1.0)</f>
        <v>1</v>
      </c>
      <c r="E79" s="3">
        <f>IFERROR(__xludf.DUMMYFUNCTION("""COMPUTED_VALUE"""),1.0)</f>
        <v>1</v>
      </c>
      <c r="F79" s="3">
        <f>IFERROR(__xludf.DUMMYFUNCTION("""COMPUTED_VALUE"""),1.0)</f>
        <v>1</v>
      </c>
      <c r="G79" s="3">
        <f>IFERROR(__xludf.DUMMYFUNCTION("""COMPUTED_VALUE"""),1.0)</f>
        <v>1</v>
      </c>
      <c r="H79" s="3">
        <f>IFERROR(__xludf.DUMMYFUNCTION("""COMPUTED_VALUE"""),1.0)</f>
        <v>1</v>
      </c>
      <c r="I79" s="3">
        <f>IFERROR(__xludf.DUMMYFUNCTION("""COMPUTED_VALUE"""),1.0)</f>
        <v>1</v>
      </c>
      <c r="J79" s="3">
        <f>IFERROR(__xludf.DUMMYFUNCTION("""COMPUTED_VALUE"""),1.0)</f>
        <v>1</v>
      </c>
      <c r="K79" s="3">
        <f>IFERROR(__xludf.DUMMYFUNCTION("""COMPUTED_VALUE"""),1.0)</f>
        <v>1</v>
      </c>
      <c r="L79" s="3">
        <f>IFERROR(__xludf.DUMMYFUNCTION("""COMPUTED_VALUE"""),1.0)</f>
        <v>1</v>
      </c>
      <c r="M79" s="3">
        <f>IFERROR(__xludf.DUMMYFUNCTION("""COMPUTED_VALUE"""),1.0)</f>
        <v>1</v>
      </c>
      <c r="N79" s="3">
        <f>IFERROR(__xludf.DUMMYFUNCTION("""COMPUTED_VALUE"""),1.0)</f>
        <v>1</v>
      </c>
      <c r="O79" s="3">
        <f>IFERROR(__xludf.DUMMYFUNCTION("""COMPUTED_VALUE"""),1.0)</f>
        <v>1</v>
      </c>
      <c r="P79" s="3">
        <f>IFERROR(__xludf.DUMMYFUNCTION("""COMPUTED_VALUE"""),1.0)</f>
        <v>1</v>
      </c>
      <c r="Q79" s="3">
        <f>IFERROR(__xludf.DUMMYFUNCTION("""COMPUTED_VALUE"""),1.0)</f>
        <v>1</v>
      </c>
      <c r="S79" s="3">
        <v>1.0</v>
      </c>
      <c r="T79" s="3">
        <v>1.0</v>
      </c>
      <c r="U79" s="3">
        <v>1.0</v>
      </c>
      <c r="V79" s="3">
        <v>1.0</v>
      </c>
      <c r="W79" s="3">
        <v>1.0</v>
      </c>
      <c r="X79" s="3">
        <v>1.0</v>
      </c>
      <c r="Y79" s="3">
        <v>1.0</v>
      </c>
      <c r="Z79" s="3">
        <v>1.0</v>
      </c>
      <c r="AA79" s="3">
        <v>1.0</v>
      </c>
      <c r="AB79" s="3">
        <v>1.0</v>
      </c>
      <c r="AC79" s="3">
        <v>1.0</v>
      </c>
      <c r="AD79" s="3">
        <v>1.0</v>
      </c>
      <c r="AE79" s="3">
        <v>1.0</v>
      </c>
      <c r="AF79" s="3">
        <v>1.0</v>
      </c>
      <c r="AG79" s="3">
        <v>1.0</v>
      </c>
      <c r="AH79" s="3">
        <v>1.0</v>
      </c>
    </row>
    <row r="80">
      <c r="A80" s="2" t="s">
        <v>43</v>
      </c>
      <c r="B80" s="3">
        <f>IFERROR(__xludf.DUMMYFUNCTION("split(A80,""{,}"")"),1.0)</f>
        <v>1</v>
      </c>
      <c r="C80" s="3">
        <f>IFERROR(__xludf.DUMMYFUNCTION("""COMPUTED_VALUE"""),0.0)</f>
        <v>0</v>
      </c>
      <c r="D80" s="3">
        <f>IFERROR(__xludf.DUMMYFUNCTION("""COMPUTED_VALUE"""),0.0)</f>
        <v>0</v>
      </c>
      <c r="E80" s="3">
        <f>IFERROR(__xludf.DUMMYFUNCTION("""COMPUTED_VALUE"""),0.0)</f>
        <v>0</v>
      </c>
      <c r="F80" s="3">
        <f>IFERROR(__xludf.DUMMYFUNCTION("""COMPUTED_VALUE"""),1.0)</f>
        <v>1</v>
      </c>
      <c r="G80" s="3">
        <f>IFERROR(__xludf.DUMMYFUNCTION("""COMPUTED_VALUE"""),0.0)</f>
        <v>0</v>
      </c>
      <c r="H80" s="3">
        <f>IFERROR(__xludf.DUMMYFUNCTION("""COMPUTED_VALUE"""),0.0)</f>
        <v>0</v>
      </c>
      <c r="I80" s="3">
        <f>IFERROR(__xludf.DUMMYFUNCTION("""COMPUTED_VALUE"""),0.0)</f>
        <v>0</v>
      </c>
      <c r="J80" s="3">
        <f>IFERROR(__xludf.DUMMYFUNCTION("""COMPUTED_VALUE"""),0.0)</f>
        <v>0</v>
      </c>
      <c r="K80" s="3">
        <f>IFERROR(__xludf.DUMMYFUNCTION("""COMPUTED_VALUE"""),0.0)</f>
        <v>0</v>
      </c>
      <c r="L80" s="3">
        <f>IFERROR(__xludf.DUMMYFUNCTION("""COMPUTED_VALUE"""),1.0)</f>
        <v>1</v>
      </c>
      <c r="M80" s="3">
        <f>IFERROR(__xludf.DUMMYFUNCTION("""COMPUTED_VALUE"""),0.0)</f>
        <v>0</v>
      </c>
      <c r="N80" s="3">
        <f>IFERROR(__xludf.DUMMYFUNCTION("""COMPUTED_VALUE"""),0.0)</f>
        <v>0</v>
      </c>
      <c r="O80" s="3">
        <f>IFERROR(__xludf.DUMMYFUNCTION("""COMPUTED_VALUE"""),0.0)</f>
        <v>0</v>
      </c>
      <c r="P80" s="3">
        <f>IFERROR(__xludf.DUMMYFUNCTION("""COMPUTED_VALUE"""),0.0)</f>
        <v>0</v>
      </c>
      <c r="Q80" s="3">
        <f>IFERROR(__xludf.DUMMYFUNCTION("""COMPUTED_VALUE"""),1.0)</f>
        <v>1</v>
      </c>
      <c r="S80" s="3">
        <v>1.0</v>
      </c>
      <c r="T80" s="2">
        <v>5.0</v>
      </c>
      <c r="U80" s="3">
        <v>0.0</v>
      </c>
      <c r="V80" s="2">
        <v>4.0</v>
      </c>
      <c r="W80" s="3">
        <v>1.0</v>
      </c>
      <c r="X80" s="3">
        <v>0.0</v>
      </c>
      <c r="Y80" s="3">
        <v>0.0</v>
      </c>
      <c r="Z80" s="3">
        <v>0.0</v>
      </c>
      <c r="AA80" s="3">
        <v>0.0</v>
      </c>
      <c r="AB80" s="3">
        <v>0.0</v>
      </c>
      <c r="AC80" s="3">
        <v>1.0</v>
      </c>
      <c r="AD80" s="3">
        <v>0.0</v>
      </c>
      <c r="AE80" s="3">
        <v>0.0</v>
      </c>
      <c r="AF80" s="2">
        <v>4.0</v>
      </c>
      <c r="AG80" s="3">
        <v>0.0</v>
      </c>
      <c r="AH80" s="3">
        <v>1.0</v>
      </c>
    </row>
    <row r="81">
      <c r="A81" s="2" t="s">
        <v>44</v>
      </c>
      <c r="B81" s="3">
        <f>IFERROR(__xludf.DUMMYFUNCTION("split(A81,""{,}"")"),1.0)</f>
        <v>1</v>
      </c>
      <c r="C81" s="3">
        <f>IFERROR(__xludf.DUMMYFUNCTION("""COMPUTED_VALUE"""),1.0)</f>
        <v>1</v>
      </c>
      <c r="D81" s="3">
        <f>IFERROR(__xludf.DUMMYFUNCTION("""COMPUTED_VALUE"""),0.0)</f>
        <v>0</v>
      </c>
      <c r="E81" s="3">
        <f>IFERROR(__xludf.DUMMYFUNCTION("""COMPUTED_VALUE"""),1.0)</f>
        <v>1</v>
      </c>
      <c r="F81" s="3">
        <f>IFERROR(__xludf.DUMMYFUNCTION("""COMPUTED_VALUE"""),1.0)</f>
        <v>1</v>
      </c>
      <c r="G81" s="3">
        <f>IFERROR(__xludf.DUMMYFUNCTION("""COMPUTED_VALUE"""),0.0)</f>
        <v>0</v>
      </c>
      <c r="H81" s="3">
        <f>IFERROR(__xludf.DUMMYFUNCTION("""COMPUTED_VALUE"""),1.0)</f>
        <v>1</v>
      </c>
      <c r="I81" s="3">
        <f>IFERROR(__xludf.DUMMYFUNCTION("""COMPUTED_VALUE"""),1.0)</f>
        <v>1</v>
      </c>
      <c r="J81" s="3">
        <f>IFERROR(__xludf.DUMMYFUNCTION("""COMPUTED_VALUE"""),1.0)</f>
        <v>1</v>
      </c>
      <c r="K81" s="3">
        <f>IFERROR(__xludf.DUMMYFUNCTION("""COMPUTED_VALUE"""),0.0)</f>
        <v>0</v>
      </c>
      <c r="L81" s="3">
        <f>IFERROR(__xludf.DUMMYFUNCTION("""COMPUTED_VALUE"""),1.0)</f>
        <v>1</v>
      </c>
      <c r="M81" s="3">
        <f>IFERROR(__xludf.DUMMYFUNCTION("""COMPUTED_VALUE"""),0.0)</f>
        <v>0</v>
      </c>
      <c r="N81" s="3">
        <f>IFERROR(__xludf.DUMMYFUNCTION("""COMPUTED_VALUE"""),1.0)</f>
        <v>1</v>
      </c>
      <c r="O81" s="3">
        <f>IFERROR(__xludf.DUMMYFUNCTION("""COMPUTED_VALUE"""),1.0)</f>
        <v>1</v>
      </c>
      <c r="P81" s="3">
        <f>IFERROR(__xludf.DUMMYFUNCTION("""COMPUTED_VALUE"""),5.0)</f>
        <v>5</v>
      </c>
      <c r="Q81" s="3">
        <f>IFERROR(__xludf.DUMMYFUNCTION("""COMPUTED_VALUE"""),1.0)</f>
        <v>1</v>
      </c>
      <c r="S81" s="3">
        <v>1.0</v>
      </c>
      <c r="T81" s="3">
        <v>1.0</v>
      </c>
      <c r="U81" s="3">
        <v>0.0</v>
      </c>
      <c r="V81" s="3">
        <v>1.0</v>
      </c>
      <c r="W81" s="3">
        <v>1.0</v>
      </c>
      <c r="X81" s="3">
        <v>0.0</v>
      </c>
      <c r="Y81" s="3">
        <v>1.0</v>
      </c>
      <c r="Z81" s="3">
        <v>1.0</v>
      </c>
      <c r="AA81" s="3">
        <v>1.0</v>
      </c>
      <c r="AB81" s="3">
        <v>0.0</v>
      </c>
      <c r="AC81" s="3">
        <v>1.0</v>
      </c>
      <c r="AD81" s="3">
        <v>0.0</v>
      </c>
      <c r="AE81" s="3">
        <v>1.0</v>
      </c>
      <c r="AF81" s="3">
        <v>1.0</v>
      </c>
      <c r="AG81" s="3">
        <v>5.0</v>
      </c>
      <c r="AH81" s="3">
        <v>1.0</v>
      </c>
    </row>
    <row r="82">
      <c r="A82" s="2" t="s">
        <v>45</v>
      </c>
      <c r="B82" s="3">
        <f>IFERROR(__xludf.DUMMYFUNCTION("split(A82,""{,}"")"),1.0)</f>
        <v>1</v>
      </c>
      <c r="C82" s="3">
        <f>IFERROR(__xludf.DUMMYFUNCTION("""COMPUTED_VALUE"""),0.0)</f>
        <v>0</v>
      </c>
      <c r="D82" s="3">
        <f>IFERROR(__xludf.DUMMYFUNCTION("""COMPUTED_VALUE"""),0.0)</f>
        <v>0</v>
      </c>
      <c r="E82" s="3">
        <f>IFERROR(__xludf.DUMMYFUNCTION("""COMPUTED_VALUE"""),0.0)</f>
        <v>0</v>
      </c>
      <c r="F82" s="3">
        <f>IFERROR(__xludf.DUMMYFUNCTION("""COMPUTED_VALUE"""),0.0)</f>
        <v>0</v>
      </c>
      <c r="G82" s="3">
        <f>IFERROR(__xludf.DUMMYFUNCTION("""COMPUTED_VALUE"""),0.0)</f>
        <v>0</v>
      </c>
      <c r="H82" s="3">
        <f>IFERROR(__xludf.DUMMYFUNCTION("""COMPUTED_VALUE"""),0.0)</f>
        <v>0</v>
      </c>
      <c r="I82" s="3">
        <f>IFERROR(__xludf.DUMMYFUNCTION("""COMPUTED_VALUE"""),1.0)</f>
        <v>1</v>
      </c>
      <c r="J82" s="3">
        <f>IFERROR(__xludf.DUMMYFUNCTION("""COMPUTED_VALUE"""),0.0)</f>
        <v>0</v>
      </c>
      <c r="K82" s="3">
        <f>IFERROR(__xludf.DUMMYFUNCTION("""COMPUTED_VALUE"""),0.0)</f>
        <v>0</v>
      </c>
      <c r="L82" s="3">
        <f>IFERROR(__xludf.DUMMYFUNCTION("""COMPUTED_VALUE"""),0.0)</f>
        <v>0</v>
      </c>
      <c r="M82" s="3">
        <f>IFERROR(__xludf.DUMMYFUNCTION("""COMPUTED_VALUE"""),0.0)</f>
        <v>0</v>
      </c>
      <c r="N82" s="3">
        <f>IFERROR(__xludf.DUMMYFUNCTION("""COMPUTED_VALUE"""),0.0)</f>
        <v>0</v>
      </c>
      <c r="O82" s="3">
        <f>IFERROR(__xludf.DUMMYFUNCTION("""COMPUTED_VALUE"""),0.0)</f>
        <v>0</v>
      </c>
      <c r="P82" s="3">
        <f>IFERROR(__xludf.DUMMYFUNCTION("""COMPUTED_VALUE"""),1.0)</f>
        <v>1</v>
      </c>
      <c r="Q82" s="3">
        <f>IFERROR(__xludf.DUMMYFUNCTION("""COMPUTED_VALUE"""),1.0)</f>
        <v>1</v>
      </c>
      <c r="S82" s="3">
        <v>1.0</v>
      </c>
      <c r="T82" s="3">
        <v>0.0</v>
      </c>
      <c r="U82" s="3">
        <v>0.0</v>
      </c>
      <c r="V82" s="3">
        <v>0.0</v>
      </c>
      <c r="W82" s="3">
        <v>0.0</v>
      </c>
      <c r="X82" s="3">
        <v>0.0</v>
      </c>
      <c r="Y82" s="2">
        <v>5.0</v>
      </c>
      <c r="Z82" s="3">
        <v>1.0</v>
      </c>
      <c r="AA82" s="2">
        <v>5.0</v>
      </c>
      <c r="AB82" s="3">
        <v>0.0</v>
      </c>
      <c r="AC82" s="3">
        <v>0.0</v>
      </c>
      <c r="AD82" s="3">
        <v>0.0</v>
      </c>
      <c r="AE82" s="3">
        <v>0.0</v>
      </c>
      <c r="AF82" s="3">
        <v>0.0</v>
      </c>
      <c r="AG82" s="3">
        <v>1.0</v>
      </c>
      <c r="AH82" s="3">
        <v>1.0</v>
      </c>
    </row>
    <row r="83">
      <c r="A83" s="2" t="s">
        <v>41</v>
      </c>
      <c r="B83" s="3">
        <f>IFERROR(__xludf.DUMMYFUNCTION("split(A83,""{,}"")"),1.0)</f>
        <v>1</v>
      </c>
      <c r="C83" s="3">
        <f>IFERROR(__xludf.DUMMYFUNCTION("""COMPUTED_VALUE"""),0.0)</f>
        <v>0</v>
      </c>
      <c r="D83" s="3">
        <f>IFERROR(__xludf.DUMMYFUNCTION("""COMPUTED_VALUE"""),1.0)</f>
        <v>1</v>
      </c>
      <c r="E83" s="3">
        <f>IFERROR(__xludf.DUMMYFUNCTION("""COMPUTED_VALUE"""),1.0)</f>
        <v>1</v>
      </c>
      <c r="F83" s="3">
        <f>IFERROR(__xludf.DUMMYFUNCTION("""COMPUTED_VALUE"""),1.0)</f>
        <v>1</v>
      </c>
      <c r="G83" s="3">
        <f>IFERROR(__xludf.DUMMYFUNCTION("""COMPUTED_VALUE"""),0.0)</f>
        <v>0</v>
      </c>
      <c r="H83" s="3">
        <f>IFERROR(__xludf.DUMMYFUNCTION("""COMPUTED_VALUE"""),1.0)</f>
        <v>1</v>
      </c>
      <c r="I83" s="3">
        <f>IFERROR(__xludf.DUMMYFUNCTION("""COMPUTED_VALUE"""),1.0)</f>
        <v>1</v>
      </c>
      <c r="J83" s="3">
        <f>IFERROR(__xludf.DUMMYFUNCTION("""COMPUTED_VALUE"""),1.0)</f>
        <v>1</v>
      </c>
      <c r="K83" s="3">
        <f>IFERROR(__xludf.DUMMYFUNCTION("""COMPUTED_VALUE"""),1.0)</f>
        <v>1</v>
      </c>
      <c r="L83" s="3">
        <f>IFERROR(__xludf.DUMMYFUNCTION("""COMPUTED_VALUE"""),0.0)</f>
        <v>0</v>
      </c>
      <c r="M83" s="3">
        <f>IFERROR(__xludf.DUMMYFUNCTION("""COMPUTED_VALUE"""),1.0)</f>
        <v>1</v>
      </c>
      <c r="N83" s="3">
        <f>IFERROR(__xludf.DUMMYFUNCTION("""COMPUTED_VALUE"""),1.0)</f>
        <v>1</v>
      </c>
      <c r="O83" s="3">
        <f>IFERROR(__xludf.DUMMYFUNCTION("""COMPUTED_VALUE"""),1.0)</f>
        <v>1</v>
      </c>
      <c r="P83" s="3">
        <f>IFERROR(__xludf.DUMMYFUNCTION("""COMPUTED_VALUE"""),1.0)</f>
        <v>1</v>
      </c>
      <c r="Q83" s="3">
        <f>IFERROR(__xludf.DUMMYFUNCTION("""COMPUTED_VALUE"""),1.0)</f>
        <v>1</v>
      </c>
      <c r="S83" s="3">
        <v>1.0</v>
      </c>
      <c r="T83" s="3">
        <v>0.0</v>
      </c>
      <c r="U83" s="3">
        <v>1.0</v>
      </c>
      <c r="V83" s="3">
        <v>1.0</v>
      </c>
      <c r="W83" s="3">
        <v>1.0</v>
      </c>
      <c r="X83" s="3">
        <v>0.0</v>
      </c>
      <c r="Y83" s="3">
        <v>1.0</v>
      </c>
      <c r="Z83" s="3">
        <v>1.0</v>
      </c>
      <c r="AA83" s="3">
        <v>1.0</v>
      </c>
      <c r="AB83" s="3">
        <v>1.0</v>
      </c>
      <c r="AC83" s="3">
        <v>0.0</v>
      </c>
      <c r="AD83" s="3">
        <v>1.0</v>
      </c>
      <c r="AE83" s="3">
        <v>1.0</v>
      </c>
      <c r="AF83" s="3">
        <v>1.0</v>
      </c>
      <c r="AG83" s="3">
        <v>1.0</v>
      </c>
      <c r="AH83" s="3">
        <v>1.0</v>
      </c>
    </row>
    <row r="84">
      <c r="A84" s="2" t="s">
        <v>18</v>
      </c>
      <c r="B84" s="3">
        <f>IFERROR(__xludf.DUMMYFUNCTION("split(A84,""{,}"")"),1.0)</f>
        <v>1</v>
      </c>
      <c r="C84" s="3">
        <f>IFERROR(__xludf.DUMMYFUNCTION("""COMPUTED_VALUE"""),0.0)</f>
        <v>0</v>
      </c>
      <c r="D84" s="3">
        <f>IFERROR(__xludf.DUMMYFUNCTION("""COMPUTED_VALUE"""),0.0)</f>
        <v>0</v>
      </c>
      <c r="E84" s="3">
        <f>IFERROR(__xludf.DUMMYFUNCTION("""COMPUTED_VALUE"""),0.0)</f>
        <v>0</v>
      </c>
      <c r="F84" s="3">
        <f>IFERROR(__xludf.DUMMYFUNCTION("""COMPUTED_VALUE"""),0.0)</f>
        <v>0</v>
      </c>
      <c r="G84" s="3">
        <f>IFERROR(__xludf.DUMMYFUNCTION("""COMPUTED_VALUE"""),0.0)</f>
        <v>0</v>
      </c>
      <c r="H84" s="3">
        <f>IFERROR(__xludf.DUMMYFUNCTION("""COMPUTED_VALUE"""),0.0)</f>
        <v>0</v>
      </c>
      <c r="I84" s="3">
        <f>IFERROR(__xludf.DUMMYFUNCTION("""COMPUTED_VALUE"""),0.0)</f>
        <v>0</v>
      </c>
      <c r="J84" s="3">
        <f>IFERROR(__xludf.DUMMYFUNCTION("""COMPUTED_VALUE"""),0.0)</f>
        <v>0</v>
      </c>
      <c r="K84" s="3">
        <f>IFERROR(__xludf.DUMMYFUNCTION("""COMPUTED_VALUE"""),0.0)</f>
        <v>0</v>
      </c>
      <c r="L84" s="3">
        <f>IFERROR(__xludf.DUMMYFUNCTION("""COMPUTED_VALUE"""),0.0)</f>
        <v>0</v>
      </c>
      <c r="M84" s="3">
        <f>IFERROR(__xludf.DUMMYFUNCTION("""COMPUTED_VALUE"""),0.0)</f>
        <v>0</v>
      </c>
      <c r="N84" s="3">
        <f>IFERROR(__xludf.DUMMYFUNCTION("""COMPUTED_VALUE"""),0.0)</f>
        <v>0</v>
      </c>
      <c r="O84" s="3">
        <f>IFERROR(__xludf.DUMMYFUNCTION("""COMPUTED_VALUE"""),0.0)</f>
        <v>0</v>
      </c>
      <c r="P84" s="3">
        <f>IFERROR(__xludf.DUMMYFUNCTION("""COMPUTED_VALUE"""),0.0)</f>
        <v>0</v>
      </c>
      <c r="Q84" s="3">
        <f>IFERROR(__xludf.DUMMYFUNCTION("""COMPUTED_VALUE"""),1.0)</f>
        <v>1</v>
      </c>
      <c r="S84" s="3">
        <v>1.0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3">
        <v>0.0</v>
      </c>
      <c r="Z84" s="3">
        <v>0.0</v>
      </c>
      <c r="AA84" s="2">
        <v>1.0</v>
      </c>
      <c r="AB84" s="3">
        <v>0.0</v>
      </c>
      <c r="AC84" s="3">
        <v>0.0</v>
      </c>
      <c r="AD84" s="3">
        <v>0.0</v>
      </c>
      <c r="AE84" s="3">
        <v>0.0</v>
      </c>
      <c r="AF84" s="3">
        <v>0.0</v>
      </c>
      <c r="AG84" s="3">
        <v>0.0</v>
      </c>
      <c r="AH84" s="3">
        <v>1.0</v>
      </c>
    </row>
    <row r="85">
      <c r="A85" s="2" t="s">
        <v>46</v>
      </c>
      <c r="B85" s="3">
        <f>IFERROR(__xludf.DUMMYFUNCTION("split(A85,""{,}"")"),1.0)</f>
        <v>1</v>
      </c>
      <c r="C85" s="3">
        <f>IFERROR(__xludf.DUMMYFUNCTION("""COMPUTED_VALUE"""),1.0)</f>
        <v>1</v>
      </c>
      <c r="D85" s="3">
        <f>IFERROR(__xludf.DUMMYFUNCTION("""COMPUTED_VALUE"""),0.0)</f>
        <v>0</v>
      </c>
      <c r="E85" s="3">
        <f>IFERROR(__xludf.DUMMYFUNCTION("""COMPUTED_VALUE"""),1.0)</f>
        <v>1</v>
      </c>
      <c r="F85" s="3">
        <f>IFERROR(__xludf.DUMMYFUNCTION("""COMPUTED_VALUE"""),0.0)</f>
        <v>0</v>
      </c>
      <c r="G85" s="3">
        <f>IFERROR(__xludf.DUMMYFUNCTION("""COMPUTED_VALUE"""),1.0)</f>
        <v>1</v>
      </c>
      <c r="H85" s="3">
        <f>IFERROR(__xludf.DUMMYFUNCTION("""COMPUTED_VALUE"""),1.0)</f>
        <v>1</v>
      </c>
      <c r="I85" s="3">
        <f>IFERROR(__xludf.DUMMYFUNCTION("""COMPUTED_VALUE"""),0.0)</f>
        <v>0</v>
      </c>
      <c r="J85" s="3">
        <f>IFERROR(__xludf.DUMMYFUNCTION("""COMPUTED_VALUE"""),1.0)</f>
        <v>1</v>
      </c>
      <c r="K85" s="3">
        <f>IFERROR(__xludf.DUMMYFUNCTION("""COMPUTED_VALUE"""),0.0)</f>
        <v>0</v>
      </c>
      <c r="L85" s="3">
        <f>IFERROR(__xludf.DUMMYFUNCTION("""COMPUTED_VALUE"""),5.0)</f>
        <v>5</v>
      </c>
      <c r="M85" s="3">
        <f>IFERROR(__xludf.DUMMYFUNCTION("""COMPUTED_VALUE"""),1.0)</f>
        <v>1</v>
      </c>
      <c r="N85" s="3">
        <f>IFERROR(__xludf.DUMMYFUNCTION("""COMPUTED_VALUE"""),0.0)</f>
        <v>0</v>
      </c>
      <c r="O85" s="3">
        <f>IFERROR(__xludf.DUMMYFUNCTION("""COMPUTED_VALUE"""),1.0)</f>
        <v>1</v>
      </c>
      <c r="P85" s="3">
        <f>IFERROR(__xludf.DUMMYFUNCTION("""COMPUTED_VALUE"""),1.0)</f>
        <v>1</v>
      </c>
      <c r="Q85" s="3">
        <f>IFERROR(__xludf.DUMMYFUNCTION("""COMPUTED_VALUE"""),1.0)</f>
        <v>1</v>
      </c>
      <c r="S85" s="3">
        <v>1.0</v>
      </c>
      <c r="T85" s="3">
        <v>1.0</v>
      </c>
      <c r="U85" s="3">
        <v>0.0</v>
      </c>
      <c r="V85" s="3">
        <v>1.0</v>
      </c>
      <c r="W85" s="3">
        <v>0.0</v>
      </c>
      <c r="X85" s="3">
        <v>1.0</v>
      </c>
      <c r="Y85" s="3">
        <v>1.0</v>
      </c>
      <c r="Z85" s="2">
        <v>4.0</v>
      </c>
      <c r="AA85" s="3">
        <v>1.0</v>
      </c>
      <c r="AB85" s="3">
        <v>0.0</v>
      </c>
      <c r="AC85" s="3">
        <v>5.0</v>
      </c>
      <c r="AD85" s="3">
        <v>1.0</v>
      </c>
      <c r="AE85" s="3">
        <v>0.0</v>
      </c>
      <c r="AF85" s="3">
        <v>1.0</v>
      </c>
      <c r="AG85" s="3">
        <v>1.0</v>
      </c>
      <c r="AH85" s="3">
        <v>1.0</v>
      </c>
    </row>
    <row r="86">
      <c r="A86" s="2" t="s">
        <v>17</v>
      </c>
      <c r="B86" s="3">
        <f>IFERROR(__xludf.DUMMYFUNCTION("split(A86,""{,}"")"),1.0)</f>
        <v>1</v>
      </c>
      <c r="C86" s="3">
        <f>IFERROR(__xludf.DUMMYFUNCTION("""COMPUTED_VALUE"""),6.0)</f>
        <v>6</v>
      </c>
      <c r="D86" s="3">
        <f>IFERROR(__xludf.DUMMYFUNCTION("""COMPUTED_VALUE"""),0.0)</f>
        <v>0</v>
      </c>
      <c r="E86" s="3">
        <f>IFERROR(__xludf.DUMMYFUNCTION("""COMPUTED_VALUE"""),0.0)</f>
        <v>0</v>
      </c>
      <c r="F86" s="3">
        <f>IFERROR(__xludf.DUMMYFUNCTION("""COMPUTED_VALUE"""),0.0)</f>
        <v>0</v>
      </c>
      <c r="G86" s="3">
        <f>IFERROR(__xludf.DUMMYFUNCTION("""COMPUTED_VALUE"""),0.0)</f>
        <v>0</v>
      </c>
      <c r="H86" s="3">
        <f>IFERROR(__xludf.DUMMYFUNCTION("""COMPUTED_VALUE"""),0.0)</f>
        <v>0</v>
      </c>
      <c r="I86" s="3">
        <f>IFERROR(__xludf.DUMMYFUNCTION("""COMPUTED_VALUE"""),0.0)</f>
        <v>0</v>
      </c>
      <c r="J86" s="3">
        <f>IFERROR(__xludf.DUMMYFUNCTION("""COMPUTED_VALUE"""),0.0)</f>
        <v>0</v>
      </c>
      <c r="K86" s="3">
        <f>IFERROR(__xludf.DUMMYFUNCTION("""COMPUTED_VALUE"""),0.0)</f>
        <v>0</v>
      </c>
      <c r="L86" s="3">
        <f>IFERROR(__xludf.DUMMYFUNCTION("""COMPUTED_VALUE"""),0.0)</f>
        <v>0</v>
      </c>
      <c r="M86" s="3">
        <f>IFERROR(__xludf.DUMMYFUNCTION("""COMPUTED_VALUE"""),0.0)</f>
        <v>0</v>
      </c>
      <c r="N86" s="3">
        <f>IFERROR(__xludf.DUMMYFUNCTION("""COMPUTED_VALUE"""),0.0)</f>
        <v>0</v>
      </c>
      <c r="O86" s="3">
        <f>IFERROR(__xludf.DUMMYFUNCTION("""COMPUTED_VALUE"""),0.0)</f>
        <v>0</v>
      </c>
      <c r="P86" s="3">
        <f>IFERROR(__xludf.DUMMYFUNCTION("""COMPUTED_VALUE"""),3.0)</f>
        <v>3</v>
      </c>
      <c r="Q86" s="3">
        <f>IFERROR(__xludf.DUMMYFUNCTION("""COMPUTED_VALUE"""),1.0)</f>
        <v>1</v>
      </c>
      <c r="S86" s="3">
        <v>1.0</v>
      </c>
      <c r="T86" s="3">
        <v>6.0</v>
      </c>
      <c r="U86" s="3">
        <v>0.0</v>
      </c>
      <c r="V86" s="3">
        <v>0.0</v>
      </c>
      <c r="W86" s="3">
        <v>0.0</v>
      </c>
      <c r="X86" s="3">
        <v>0.0</v>
      </c>
      <c r="Y86" s="3">
        <v>0.0</v>
      </c>
      <c r="Z86" s="3">
        <v>0.0</v>
      </c>
      <c r="AA86" s="2">
        <v>1.0</v>
      </c>
      <c r="AB86" s="3">
        <v>0.0</v>
      </c>
      <c r="AC86" s="3">
        <v>0.0</v>
      </c>
      <c r="AD86" s="3">
        <v>0.0</v>
      </c>
      <c r="AE86" s="3">
        <v>0.0</v>
      </c>
      <c r="AF86" s="3">
        <v>0.0</v>
      </c>
      <c r="AG86" s="3">
        <v>3.0</v>
      </c>
      <c r="AH86" s="3">
        <v>1.0</v>
      </c>
    </row>
    <row r="87">
      <c r="A87" s="2" t="s">
        <v>3</v>
      </c>
      <c r="B87" s="3">
        <f>IFERROR(__xludf.DUMMYFUNCTION("split(A87,""{,}"")"),1.0)</f>
        <v>1</v>
      </c>
      <c r="C87" s="3">
        <f>IFERROR(__xludf.DUMMYFUNCTION("""COMPUTED_VALUE"""),1.0)</f>
        <v>1</v>
      </c>
      <c r="D87" s="3">
        <f>IFERROR(__xludf.DUMMYFUNCTION("""COMPUTED_VALUE"""),1.0)</f>
        <v>1</v>
      </c>
      <c r="E87" s="3">
        <f>IFERROR(__xludf.DUMMYFUNCTION("""COMPUTED_VALUE"""),1.0)</f>
        <v>1</v>
      </c>
      <c r="F87" s="3">
        <f>IFERROR(__xludf.DUMMYFUNCTION("""COMPUTED_VALUE"""),1.0)</f>
        <v>1</v>
      </c>
      <c r="G87" s="3">
        <f>IFERROR(__xludf.DUMMYFUNCTION("""COMPUTED_VALUE"""),1.0)</f>
        <v>1</v>
      </c>
      <c r="H87" s="3">
        <f>IFERROR(__xludf.DUMMYFUNCTION("""COMPUTED_VALUE"""),1.0)</f>
        <v>1</v>
      </c>
      <c r="I87" s="3">
        <f>IFERROR(__xludf.DUMMYFUNCTION("""COMPUTED_VALUE"""),1.0)</f>
        <v>1</v>
      </c>
      <c r="J87" s="3">
        <f>IFERROR(__xludf.DUMMYFUNCTION("""COMPUTED_VALUE"""),1.0)</f>
        <v>1</v>
      </c>
      <c r="K87" s="3">
        <f>IFERROR(__xludf.DUMMYFUNCTION("""COMPUTED_VALUE"""),1.0)</f>
        <v>1</v>
      </c>
      <c r="L87" s="3">
        <f>IFERROR(__xludf.DUMMYFUNCTION("""COMPUTED_VALUE"""),1.0)</f>
        <v>1</v>
      </c>
      <c r="M87" s="3">
        <f>IFERROR(__xludf.DUMMYFUNCTION("""COMPUTED_VALUE"""),1.0)</f>
        <v>1</v>
      </c>
      <c r="N87" s="3">
        <f>IFERROR(__xludf.DUMMYFUNCTION("""COMPUTED_VALUE"""),1.0)</f>
        <v>1</v>
      </c>
      <c r="O87" s="3">
        <f>IFERROR(__xludf.DUMMYFUNCTION("""COMPUTED_VALUE"""),1.0)</f>
        <v>1</v>
      </c>
      <c r="P87" s="3">
        <f>IFERROR(__xludf.DUMMYFUNCTION("""COMPUTED_VALUE"""),1.0)</f>
        <v>1</v>
      </c>
      <c r="Q87" s="3">
        <f>IFERROR(__xludf.DUMMYFUNCTION("""COMPUTED_VALUE"""),1.0)</f>
        <v>1</v>
      </c>
      <c r="S87" s="3">
        <v>1.0</v>
      </c>
      <c r="T87" s="3">
        <v>1.0</v>
      </c>
      <c r="U87" s="3">
        <v>1.0</v>
      </c>
      <c r="V87" s="3">
        <v>1.0</v>
      </c>
      <c r="W87" s="3">
        <v>1.0</v>
      </c>
      <c r="X87" s="3">
        <v>1.0</v>
      </c>
      <c r="Y87" s="3">
        <v>1.0</v>
      </c>
      <c r="Z87" s="3">
        <v>1.0</v>
      </c>
      <c r="AA87" s="3">
        <v>1.0</v>
      </c>
      <c r="AB87" s="3">
        <v>1.0</v>
      </c>
      <c r="AC87" s="3">
        <v>1.0</v>
      </c>
      <c r="AD87" s="3">
        <v>1.0</v>
      </c>
      <c r="AE87" s="3">
        <v>1.0</v>
      </c>
      <c r="AF87" s="3">
        <v>1.0</v>
      </c>
      <c r="AG87" s="3">
        <v>1.0</v>
      </c>
      <c r="AH87" s="3">
        <v>1.0</v>
      </c>
    </row>
  </sheetData>
  <conditionalFormatting sqref="B3:B11 C3:Q12 S3:S11 T3:AH12 B14:B33 C14:Q34 S14:S33 T14:AH34 B36:Q44 S36:AH44 B46:Q54 S46:AH54 B57:Q65 S57:AH65 B68:Q76 S68:AH76 B79:Q87 S79:AH87">
    <cfRule type="cellIs" dxfId="0" priority="1" operator="equal">
      <formula>1</formula>
    </cfRule>
  </conditionalFormatting>
  <conditionalFormatting sqref="B3:B11 C3:Q12 S3:S11 T3:AH12 B14:B33 C14:Q34 S14:S33 T14:AH34 B36:Q44 S36:AH44 B46:Q54 S46:AH54 B57:Q65 S57:AH65 B68:Q76 S68:AH76 B79:Q87 S79:AH87">
    <cfRule type="cellIs" dxfId="1" priority="2" operator="equal">
      <formula>0</formula>
    </cfRule>
  </conditionalFormatting>
  <conditionalFormatting sqref="B3:B11 C3:Q12 S3:S11 T3:AH12 B14:B33 C14:Q34 S14:S33 T14:AH34 B36:Q44 S36:AH44 B46:Q54 S46:AH54 B57:Q65 S57:AH65 B68:Q76 S68:AH76 B79:Q87 S79:AH87">
    <cfRule type="cellIs" dxfId="2" priority="3" operator="equal">
      <formula>2</formula>
    </cfRule>
  </conditionalFormatting>
  <conditionalFormatting sqref="B3:B11 C3:Q12 S3:S11 T3:AH12 B14:B33 C14:Q34 S14:S33 T14:AH34 B36:Q44 S36:AH44 B46:Q54 S46:AH54 B57:Q65 S57:AH65 B68:Q76 S68:AH76 B79:Q87 S79:AH87">
    <cfRule type="cellIs" dxfId="3" priority="4" operator="equal">
      <formula>3</formula>
    </cfRule>
  </conditionalFormatting>
  <conditionalFormatting sqref="C3:P11 T3:AG11 C14:P33 T14:AG33 C36:P44 T36:AG44 C46:P54 T46:AG54 C57:P65 T57:AG65 C68:P76 T68:AG76 C79:P87 T79:AG87">
    <cfRule type="cellIs" dxfId="4" priority="5" operator="equal">
      <formula>5</formula>
    </cfRule>
  </conditionalFormatting>
  <conditionalFormatting sqref="B3:Q11 S3:AH11 B14:Q33 S14:AH33 B36:Q44 S36:AH44 B46:Q54 S46:AH54 B57:Q65 S57:AH65 B68:Q76 S68:AH76 B79:Q87 S79:AH87">
    <cfRule type="cellIs" dxfId="5" priority="6" operator="equal">
      <formula>4</formula>
    </cfRule>
  </conditionalFormatting>
  <conditionalFormatting sqref="B3:Q11 S3:AH11 B14:Q33 S14:AH33 B36:Q44 S36:AH44 B46:Q54 S46:AH54 B57:Q65 S57:AH65 B68:Q76 S68:AH76 B79:Q87 S79:AH87">
    <cfRule type="cellIs" dxfId="6" priority="7" operator="equal">
      <formula>6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.5"/>
    <col customWidth="1" min="3" max="17" width="0.38"/>
    <col customWidth="1" min="19" max="34" width="2.88"/>
  </cols>
  <sheetData>
    <row r="1">
      <c r="B1" s="1" t="s">
        <v>0</v>
      </c>
    </row>
    <row r="2">
      <c r="A2" s="2">
        <v>5.1</v>
      </c>
      <c r="B2" s="2" t="s">
        <v>1</v>
      </c>
      <c r="S2" s="2" t="s">
        <v>2</v>
      </c>
    </row>
    <row r="3">
      <c r="A3" s="2" t="s">
        <v>3</v>
      </c>
      <c r="B3" s="3">
        <f>IFERROR(__xludf.DUMMYFUNCTION("split(A3,""{,}"")"),1.0)</f>
        <v>1</v>
      </c>
      <c r="C3" s="3">
        <f>IFERROR(__xludf.DUMMYFUNCTION("""COMPUTED_VALUE"""),1.0)</f>
        <v>1</v>
      </c>
      <c r="D3" s="3">
        <f>IFERROR(__xludf.DUMMYFUNCTION("""COMPUTED_VALUE"""),1.0)</f>
        <v>1</v>
      </c>
      <c r="E3" s="3">
        <f>IFERROR(__xludf.DUMMYFUNCTION("""COMPUTED_VALUE"""),1.0)</f>
        <v>1</v>
      </c>
      <c r="F3" s="3">
        <f>IFERROR(__xludf.DUMMYFUNCTION("""COMPUTED_VALUE"""),1.0)</f>
        <v>1</v>
      </c>
      <c r="G3" s="3">
        <f>IFERROR(__xludf.DUMMYFUNCTION("""COMPUTED_VALUE"""),1.0)</f>
        <v>1</v>
      </c>
      <c r="H3" s="3">
        <f>IFERROR(__xludf.DUMMYFUNCTION("""COMPUTED_VALUE"""),1.0)</f>
        <v>1</v>
      </c>
      <c r="I3" s="3">
        <f>IFERROR(__xludf.DUMMYFUNCTION("""COMPUTED_VALUE"""),1.0)</f>
        <v>1</v>
      </c>
      <c r="J3" s="3">
        <f>IFERROR(__xludf.DUMMYFUNCTION("""COMPUTED_VALUE"""),1.0)</f>
        <v>1</v>
      </c>
      <c r="K3" s="3">
        <f>IFERROR(__xludf.DUMMYFUNCTION("""COMPUTED_VALUE"""),1.0)</f>
        <v>1</v>
      </c>
      <c r="L3" s="3">
        <f>IFERROR(__xludf.DUMMYFUNCTION("""COMPUTED_VALUE"""),1.0)</f>
        <v>1</v>
      </c>
      <c r="M3" s="3">
        <f>IFERROR(__xludf.DUMMYFUNCTION("""COMPUTED_VALUE"""),1.0)</f>
        <v>1</v>
      </c>
      <c r="N3" s="3">
        <f>IFERROR(__xludf.DUMMYFUNCTION("""COMPUTED_VALUE"""),1.0)</f>
        <v>1</v>
      </c>
      <c r="O3" s="3">
        <f>IFERROR(__xludf.DUMMYFUNCTION("""COMPUTED_VALUE"""),1.0)</f>
        <v>1</v>
      </c>
      <c r="P3" s="3">
        <f>IFERROR(__xludf.DUMMYFUNCTION("""COMPUTED_VALUE"""),1.0)</f>
        <v>1</v>
      </c>
      <c r="Q3" s="3">
        <f>IFERROR(__xludf.DUMMYFUNCTION("""COMPUTED_VALUE"""),1.0)</f>
        <v>1</v>
      </c>
      <c r="S3" s="3">
        <v>1.0</v>
      </c>
      <c r="T3" s="3">
        <v>1.0</v>
      </c>
      <c r="U3" s="3">
        <v>1.0</v>
      </c>
      <c r="V3" s="3">
        <v>1.0</v>
      </c>
      <c r="W3" s="3">
        <v>1.0</v>
      </c>
      <c r="X3" s="3">
        <v>1.0</v>
      </c>
      <c r="Y3" s="3">
        <v>1.0</v>
      </c>
      <c r="Z3" s="3">
        <v>1.0</v>
      </c>
      <c r="AA3" s="3">
        <v>1.0</v>
      </c>
      <c r="AB3" s="3">
        <v>1.0</v>
      </c>
      <c r="AC3" s="3">
        <v>1.0</v>
      </c>
      <c r="AD3" s="3">
        <v>1.0</v>
      </c>
      <c r="AE3" s="3">
        <v>1.0</v>
      </c>
      <c r="AF3" s="3">
        <v>1.0</v>
      </c>
      <c r="AG3" s="3">
        <v>1.0</v>
      </c>
      <c r="AH3" s="3">
        <v>1.0</v>
      </c>
    </row>
    <row r="4">
      <c r="A4" s="2" t="s">
        <v>47</v>
      </c>
      <c r="B4" s="3">
        <f>IFERROR(__xludf.DUMMYFUNCTION("split(A4,""{,}"")"),1.0)</f>
        <v>1</v>
      </c>
      <c r="C4" s="3">
        <f>IFERROR(__xludf.DUMMYFUNCTION("""COMPUTED_VALUE"""),0.0)</f>
        <v>0</v>
      </c>
      <c r="D4" s="3">
        <f>IFERROR(__xludf.DUMMYFUNCTION("""COMPUTED_VALUE"""),0.0)</f>
        <v>0</v>
      </c>
      <c r="E4" s="3">
        <f>IFERROR(__xludf.DUMMYFUNCTION("""COMPUTED_VALUE"""),0.0)</f>
        <v>0</v>
      </c>
      <c r="F4" s="3">
        <f>IFERROR(__xludf.DUMMYFUNCTION("""COMPUTED_VALUE"""),1.0)</f>
        <v>1</v>
      </c>
      <c r="G4" s="3">
        <f>IFERROR(__xludf.DUMMYFUNCTION("""COMPUTED_VALUE"""),0.0)</f>
        <v>0</v>
      </c>
      <c r="H4" s="3">
        <f>IFERROR(__xludf.DUMMYFUNCTION("""COMPUTED_VALUE"""),0.0)</f>
        <v>0</v>
      </c>
      <c r="I4" s="3">
        <f>IFERROR(__xludf.DUMMYFUNCTION("""COMPUTED_VALUE"""),1.0)</f>
        <v>1</v>
      </c>
      <c r="J4" s="3">
        <f>IFERROR(__xludf.DUMMYFUNCTION("""COMPUTED_VALUE"""),0.0)</f>
        <v>0</v>
      </c>
      <c r="K4" s="3">
        <f>IFERROR(__xludf.DUMMYFUNCTION("""COMPUTED_VALUE"""),4.0)</f>
        <v>4</v>
      </c>
      <c r="L4" s="3">
        <f>IFERROR(__xludf.DUMMYFUNCTION("""COMPUTED_VALUE"""),0.0)</f>
        <v>0</v>
      </c>
      <c r="M4" s="3">
        <f>IFERROR(__xludf.DUMMYFUNCTION("""COMPUTED_VALUE"""),1.0)</f>
        <v>1</v>
      </c>
      <c r="N4" s="3">
        <f>IFERROR(__xludf.DUMMYFUNCTION("""COMPUTED_VALUE"""),0.0)</f>
        <v>0</v>
      </c>
      <c r="O4" s="3">
        <f>IFERROR(__xludf.DUMMYFUNCTION("""COMPUTED_VALUE"""),0.0)</f>
        <v>0</v>
      </c>
      <c r="P4" s="3">
        <f>IFERROR(__xludf.DUMMYFUNCTION("""COMPUTED_VALUE"""),0.0)</f>
        <v>0</v>
      </c>
      <c r="Q4" s="3">
        <f>IFERROR(__xludf.DUMMYFUNCTION("""COMPUTED_VALUE"""),1.0)</f>
        <v>1</v>
      </c>
      <c r="S4" s="3">
        <v>1.0</v>
      </c>
      <c r="T4" s="2">
        <v>2.0</v>
      </c>
      <c r="U4" s="3">
        <v>0.0</v>
      </c>
      <c r="V4" s="3">
        <v>0.0</v>
      </c>
      <c r="W4" s="3">
        <v>1.0</v>
      </c>
      <c r="X4" s="3">
        <v>0.0</v>
      </c>
      <c r="Y4" s="2">
        <v>5.0</v>
      </c>
      <c r="Z4" s="3">
        <v>1.0</v>
      </c>
      <c r="AA4" s="3">
        <v>0.0</v>
      </c>
      <c r="AB4" s="3">
        <v>4.0</v>
      </c>
      <c r="AC4" s="3">
        <v>0.0</v>
      </c>
      <c r="AD4" s="3">
        <v>1.0</v>
      </c>
      <c r="AE4" s="2">
        <v>4.0</v>
      </c>
      <c r="AF4" s="2">
        <v>0.0</v>
      </c>
      <c r="AG4" s="2">
        <v>0.0</v>
      </c>
      <c r="AH4" s="3">
        <v>1.0</v>
      </c>
    </row>
    <row r="5">
      <c r="A5" s="2" t="s">
        <v>48</v>
      </c>
      <c r="B5" s="3">
        <f>IFERROR(__xludf.DUMMYFUNCTION("split(A5,""{,}"")"),1.0)</f>
        <v>1</v>
      </c>
      <c r="C5" s="3">
        <f>IFERROR(__xludf.DUMMYFUNCTION("""COMPUTED_VALUE"""),0.0)</f>
        <v>0</v>
      </c>
      <c r="D5" s="3">
        <f>IFERROR(__xludf.DUMMYFUNCTION("""COMPUTED_VALUE"""),1.0)</f>
        <v>1</v>
      </c>
      <c r="E5" s="3">
        <f>IFERROR(__xludf.DUMMYFUNCTION("""COMPUTED_VALUE"""),0.0)</f>
        <v>0</v>
      </c>
      <c r="F5" s="3">
        <f>IFERROR(__xludf.DUMMYFUNCTION("""COMPUTED_VALUE"""),1.0)</f>
        <v>1</v>
      </c>
      <c r="G5" s="3">
        <f>IFERROR(__xludf.DUMMYFUNCTION("""COMPUTED_VALUE"""),0.0)</f>
        <v>0</v>
      </c>
      <c r="H5" s="3">
        <f>IFERROR(__xludf.DUMMYFUNCTION("""COMPUTED_VALUE"""),1.0)</f>
        <v>1</v>
      </c>
      <c r="I5" s="3">
        <f>IFERROR(__xludf.DUMMYFUNCTION("""COMPUTED_VALUE"""),1.0)</f>
        <v>1</v>
      </c>
      <c r="J5" s="3">
        <f>IFERROR(__xludf.DUMMYFUNCTION("""COMPUTED_VALUE"""),1.0)</f>
        <v>1</v>
      </c>
      <c r="K5" s="3">
        <f>IFERROR(__xludf.DUMMYFUNCTION("""COMPUTED_VALUE"""),0.0)</f>
        <v>0</v>
      </c>
      <c r="L5" s="3">
        <f>IFERROR(__xludf.DUMMYFUNCTION("""COMPUTED_VALUE"""),1.0)</f>
        <v>1</v>
      </c>
      <c r="M5" s="3">
        <f>IFERROR(__xludf.DUMMYFUNCTION("""COMPUTED_VALUE"""),1.0)</f>
        <v>1</v>
      </c>
      <c r="N5" s="3">
        <f>IFERROR(__xludf.DUMMYFUNCTION("""COMPUTED_VALUE"""),1.0)</f>
        <v>1</v>
      </c>
      <c r="O5" s="3">
        <f>IFERROR(__xludf.DUMMYFUNCTION("""COMPUTED_VALUE"""),0.0)</f>
        <v>0</v>
      </c>
      <c r="P5" s="3">
        <f>IFERROR(__xludf.DUMMYFUNCTION("""COMPUTED_VALUE"""),1.0)</f>
        <v>1</v>
      </c>
      <c r="Q5" s="3">
        <f>IFERROR(__xludf.DUMMYFUNCTION("""COMPUTED_VALUE"""),1.0)</f>
        <v>1</v>
      </c>
      <c r="S5" s="3">
        <v>1.0</v>
      </c>
      <c r="T5" s="3">
        <v>0.0</v>
      </c>
      <c r="U5" s="3">
        <v>1.0</v>
      </c>
      <c r="V5" s="3">
        <v>0.0</v>
      </c>
      <c r="W5" s="3">
        <v>1.0</v>
      </c>
      <c r="X5" s="3">
        <v>0.0</v>
      </c>
      <c r="Y5" s="3">
        <v>1.0</v>
      </c>
      <c r="Z5" s="3">
        <v>1.0</v>
      </c>
      <c r="AA5" s="3">
        <v>1.0</v>
      </c>
      <c r="AB5" s="3">
        <v>0.0</v>
      </c>
      <c r="AC5" s="3">
        <v>1.0</v>
      </c>
      <c r="AD5" s="3">
        <v>1.0</v>
      </c>
      <c r="AE5" s="3">
        <v>1.0</v>
      </c>
      <c r="AF5" s="3">
        <v>0.0</v>
      </c>
      <c r="AG5" s="3">
        <v>1.0</v>
      </c>
      <c r="AH5" s="3">
        <v>1.0</v>
      </c>
    </row>
    <row r="6">
      <c r="A6" s="2" t="s">
        <v>49</v>
      </c>
      <c r="B6" s="3">
        <f>IFERROR(__xludf.DUMMYFUNCTION("split(A6,""{,}"")"),1.0)</f>
        <v>1</v>
      </c>
      <c r="C6" s="3">
        <f>IFERROR(__xludf.DUMMYFUNCTION("""COMPUTED_VALUE"""),0.0)</f>
        <v>0</v>
      </c>
      <c r="D6" s="3">
        <f>IFERROR(__xludf.DUMMYFUNCTION("""COMPUTED_VALUE"""),1.0)</f>
        <v>1</v>
      </c>
      <c r="E6" s="3">
        <f>IFERROR(__xludf.DUMMYFUNCTION("""COMPUTED_VALUE"""),0.0)</f>
        <v>0</v>
      </c>
      <c r="F6" s="3">
        <f>IFERROR(__xludf.DUMMYFUNCTION("""COMPUTED_VALUE"""),0.0)</f>
        <v>0</v>
      </c>
      <c r="G6" s="3">
        <f>IFERROR(__xludf.DUMMYFUNCTION("""COMPUTED_VALUE"""),0.0)</f>
        <v>0</v>
      </c>
      <c r="H6" s="3">
        <f>IFERROR(__xludf.DUMMYFUNCTION("""COMPUTED_VALUE"""),0.0)</f>
        <v>0</v>
      </c>
      <c r="I6" s="3">
        <f>IFERROR(__xludf.DUMMYFUNCTION("""COMPUTED_VALUE"""),0.0)</f>
        <v>0</v>
      </c>
      <c r="J6" s="3">
        <f>IFERROR(__xludf.DUMMYFUNCTION("""COMPUTED_VALUE"""),0.0)</f>
        <v>0</v>
      </c>
      <c r="K6" s="3">
        <f>IFERROR(__xludf.DUMMYFUNCTION("""COMPUTED_VALUE"""),0.0)</f>
        <v>0</v>
      </c>
      <c r="L6" s="3">
        <f>IFERROR(__xludf.DUMMYFUNCTION("""COMPUTED_VALUE"""),0.0)</f>
        <v>0</v>
      </c>
      <c r="M6" s="3">
        <f>IFERROR(__xludf.DUMMYFUNCTION("""COMPUTED_VALUE"""),0.0)</f>
        <v>0</v>
      </c>
      <c r="N6" s="3">
        <f>IFERROR(__xludf.DUMMYFUNCTION("""COMPUTED_VALUE"""),2.0)</f>
        <v>2</v>
      </c>
      <c r="O6" s="3">
        <f>IFERROR(__xludf.DUMMYFUNCTION("""COMPUTED_VALUE"""),0.0)</f>
        <v>0</v>
      </c>
      <c r="P6" s="3">
        <f>IFERROR(__xludf.DUMMYFUNCTION("""COMPUTED_VALUE"""),0.0)</f>
        <v>0</v>
      </c>
      <c r="Q6" s="3">
        <f>IFERROR(__xludf.DUMMYFUNCTION("""COMPUTED_VALUE"""),1.0)</f>
        <v>1</v>
      </c>
      <c r="S6" s="3">
        <v>1.0</v>
      </c>
      <c r="T6" s="2">
        <v>5.0</v>
      </c>
      <c r="U6" s="3">
        <v>1.0</v>
      </c>
      <c r="V6" s="3">
        <v>0.0</v>
      </c>
      <c r="W6" s="3">
        <v>0.0</v>
      </c>
      <c r="X6" s="3">
        <v>0.0</v>
      </c>
      <c r="Y6" s="3">
        <v>0.0</v>
      </c>
      <c r="Z6" s="3">
        <v>0.0</v>
      </c>
      <c r="AA6" s="3">
        <v>0.0</v>
      </c>
      <c r="AB6" s="3">
        <v>0.0</v>
      </c>
      <c r="AC6" s="3">
        <v>0.0</v>
      </c>
      <c r="AD6" s="3">
        <v>0.0</v>
      </c>
      <c r="AE6" s="2">
        <v>0.0</v>
      </c>
      <c r="AF6" s="3">
        <v>0.0</v>
      </c>
      <c r="AG6" s="3">
        <v>0.0</v>
      </c>
      <c r="AH6" s="3">
        <v>1.0</v>
      </c>
    </row>
    <row r="7">
      <c r="A7" s="2" t="s">
        <v>50</v>
      </c>
      <c r="B7" s="3">
        <f>IFERROR(__xludf.DUMMYFUNCTION("split(A7,""{,}"")"),1.0)</f>
        <v>1</v>
      </c>
      <c r="C7" s="3">
        <f>IFERROR(__xludf.DUMMYFUNCTION("""COMPUTED_VALUE"""),1.0)</f>
        <v>1</v>
      </c>
      <c r="D7" s="3">
        <f>IFERROR(__xludf.DUMMYFUNCTION("""COMPUTED_VALUE"""),1.0)</f>
        <v>1</v>
      </c>
      <c r="E7" s="3">
        <f>IFERROR(__xludf.DUMMYFUNCTION("""COMPUTED_VALUE"""),0.0)</f>
        <v>0</v>
      </c>
      <c r="F7" s="3">
        <f>IFERROR(__xludf.DUMMYFUNCTION("""COMPUTED_VALUE"""),1.0)</f>
        <v>1</v>
      </c>
      <c r="G7" s="3">
        <f>IFERROR(__xludf.DUMMYFUNCTION("""COMPUTED_VALUE"""),1.0)</f>
        <v>1</v>
      </c>
      <c r="H7" s="3">
        <f>IFERROR(__xludf.DUMMYFUNCTION("""COMPUTED_VALUE"""),1.0)</f>
        <v>1</v>
      </c>
      <c r="I7" s="3">
        <f>IFERROR(__xludf.DUMMYFUNCTION("""COMPUTED_VALUE"""),0.0)</f>
        <v>0</v>
      </c>
      <c r="J7" s="3">
        <f>IFERROR(__xludf.DUMMYFUNCTION("""COMPUTED_VALUE"""),1.0)</f>
        <v>1</v>
      </c>
      <c r="K7" s="3">
        <f>IFERROR(__xludf.DUMMYFUNCTION("""COMPUTED_VALUE"""),1.0)</f>
        <v>1</v>
      </c>
      <c r="L7" s="3">
        <f>IFERROR(__xludf.DUMMYFUNCTION("""COMPUTED_VALUE"""),1.0)</f>
        <v>1</v>
      </c>
      <c r="M7" s="3">
        <f>IFERROR(__xludf.DUMMYFUNCTION("""COMPUTED_VALUE"""),0.0)</f>
        <v>0</v>
      </c>
      <c r="N7" s="3">
        <f>IFERROR(__xludf.DUMMYFUNCTION("""COMPUTED_VALUE"""),1.0)</f>
        <v>1</v>
      </c>
      <c r="O7" s="3">
        <f>IFERROR(__xludf.DUMMYFUNCTION("""COMPUTED_VALUE"""),1.0)</f>
        <v>1</v>
      </c>
      <c r="P7" s="3">
        <f>IFERROR(__xludf.DUMMYFUNCTION("""COMPUTED_VALUE"""),0.0)</f>
        <v>0</v>
      </c>
      <c r="Q7" s="3">
        <f>IFERROR(__xludf.DUMMYFUNCTION("""COMPUTED_VALUE"""),1.0)</f>
        <v>1</v>
      </c>
      <c r="S7" s="3">
        <v>1.0</v>
      </c>
      <c r="T7" s="3">
        <v>1.0</v>
      </c>
      <c r="U7" s="3">
        <v>1.0</v>
      </c>
      <c r="V7" s="3">
        <v>0.0</v>
      </c>
      <c r="W7" s="3">
        <v>1.0</v>
      </c>
      <c r="X7" s="3">
        <v>1.0</v>
      </c>
      <c r="Y7" s="3">
        <v>1.0</v>
      </c>
      <c r="Z7" s="3">
        <v>0.0</v>
      </c>
      <c r="AA7" s="3">
        <v>1.0</v>
      </c>
      <c r="AB7" s="3">
        <v>1.0</v>
      </c>
      <c r="AC7" s="3">
        <v>1.0</v>
      </c>
      <c r="AD7" s="3">
        <v>0.0</v>
      </c>
      <c r="AE7" s="3">
        <v>1.0</v>
      </c>
      <c r="AF7" s="3">
        <v>1.0</v>
      </c>
      <c r="AG7" s="3">
        <v>0.0</v>
      </c>
      <c r="AH7" s="3">
        <v>1.0</v>
      </c>
    </row>
    <row r="8">
      <c r="A8" s="2" t="s">
        <v>51</v>
      </c>
      <c r="B8" s="3">
        <f>IFERROR(__xludf.DUMMYFUNCTION("split(A8,""{,}"")"),1.0)</f>
        <v>1</v>
      </c>
      <c r="C8" s="3">
        <f>IFERROR(__xludf.DUMMYFUNCTION("""COMPUTED_VALUE"""),0.0)</f>
        <v>0</v>
      </c>
      <c r="D8" s="3">
        <f>IFERROR(__xludf.DUMMYFUNCTION("""COMPUTED_VALUE"""),0.0)</f>
        <v>0</v>
      </c>
      <c r="E8" s="3">
        <f>IFERROR(__xludf.DUMMYFUNCTION("""COMPUTED_VALUE"""),0.0)</f>
        <v>0</v>
      </c>
      <c r="F8" s="3">
        <f>IFERROR(__xludf.DUMMYFUNCTION("""COMPUTED_VALUE"""),0.0)</f>
        <v>0</v>
      </c>
      <c r="G8" s="3">
        <f>IFERROR(__xludf.DUMMYFUNCTION("""COMPUTED_VALUE"""),0.0)</f>
        <v>0</v>
      </c>
      <c r="H8" s="3">
        <f>IFERROR(__xludf.DUMMYFUNCTION("""COMPUTED_VALUE"""),0.0)</f>
        <v>0</v>
      </c>
      <c r="I8" s="3">
        <f>IFERROR(__xludf.DUMMYFUNCTION("""COMPUTED_VALUE"""),0.0)</f>
        <v>0</v>
      </c>
      <c r="J8" s="3">
        <f>IFERROR(__xludf.DUMMYFUNCTION("""COMPUTED_VALUE"""),0.0)</f>
        <v>0</v>
      </c>
      <c r="K8" s="3">
        <f>IFERROR(__xludf.DUMMYFUNCTION("""COMPUTED_VALUE"""),0.0)</f>
        <v>0</v>
      </c>
      <c r="L8" s="3">
        <f>IFERROR(__xludf.DUMMYFUNCTION("""COMPUTED_VALUE"""),0.0)</f>
        <v>0</v>
      </c>
      <c r="M8" s="3">
        <f>IFERROR(__xludf.DUMMYFUNCTION("""COMPUTED_VALUE"""),0.0)</f>
        <v>0</v>
      </c>
      <c r="N8" s="3">
        <f>IFERROR(__xludf.DUMMYFUNCTION("""COMPUTED_VALUE"""),0.0)</f>
        <v>0</v>
      </c>
      <c r="O8" s="3">
        <f>IFERROR(__xludf.DUMMYFUNCTION("""COMPUTED_VALUE"""),5.0)</f>
        <v>5</v>
      </c>
      <c r="P8" s="3">
        <f>IFERROR(__xludf.DUMMYFUNCTION("""COMPUTED_VALUE"""),0.0)</f>
        <v>0</v>
      </c>
      <c r="Q8" s="3">
        <f>IFERROR(__xludf.DUMMYFUNCTION("""COMPUTED_VALUE"""),1.0)</f>
        <v>1</v>
      </c>
      <c r="S8" s="3">
        <v>1.0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3">
        <v>0.0</v>
      </c>
      <c r="AC8" s="3">
        <v>0.0</v>
      </c>
      <c r="AD8" s="3">
        <v>0.0</v>
      </c>
      <c r="AE8" s="3">
        <v>0.0</v>
      </c>
      <c r="AF8" s="3">
        <v>5.0</v>
      </c>
      <c r="AG8" s="3">
        <v>0.0</v>
      </c>
      <c r="AH8" s="3">
        <v>1.0</v>
      </c>
    </row>
    <row r="9">
      <c r="A9" s="2" t="s">
        <v>52</v>
      </c>
      <c r="B9" s="3">
        <f>IFERROR(__xludf.DUMMYFUNCTION("split(A9,""{,}"")"),1.0)</f>
        <v>1</v>
      </c>
      <c r="C9" s="3">
        <f>IFERROR(__xludf.DUMMYFUNCTION("""COMPUTED_VALUE"""),0.0)</f>
        <v>0</v>
      </c>
      <c r="D9" s="3">
        <f>IFERROR(__xludf.DUMMYFUNCTION("""COMPUTED_VALUE"""),1.0)</f>
        <v>1</v>
      </c>
      <c r="E9" s="3">
        <f>IFERROR(__xludf.DUMMYFUNCTION("""COMPUTED_VALUE"""),1.0)</f>
        <v>1</v>
      </c>
      <c r="F9" s="3">
        <f>IFERROR(__xludf.DUMMYFUNCTION("""COMPUTED_VALUE"""),0.0)</f>
        <v>0</v>
      </c>
      <c r="G9" s="3">
        <f>IFERROR(__xludf.DUMMYFUNCTION("""COMPUTED_VALUE"""),1.0)</f>
        <v>1</v>
      </c>
      <c r="H9" s="3">
        <f>IFERROR(__xludf.DUMMYFUNCTION("""COMPUTED_VALUE"""),5.0)</f>
        <v>5</v>
      </c>
      <c r="I9" s="3">
        <f>IFERROR(__xludf.DUMMYFUNCTION("""COMPUTED_VALUE"""),1.0)</f>
        <v>1</v>
      </c>
      <c r="J9" s="3">
        <f>IFERROR(__xludf.DUMMYFUNCTION("""COMPUTED_VALUE"""),0.0)</f>
        <v>0</v>
      </c>
      <c r="K9" s="3">
        <f>IFERROR(__xludf.DUMMYFUNCTION("""COMPUTED_VALUE"""),1.0)</f>
        <v>1</v>
      </c>
      <c r="L9" s="3">
        <f>IFERROR(__xludf.DUMMYFUNCTION("""COMPUTED_VALUE"""),1.0)</f>
        <v>1</v>
      </c>
      <c r="M9" s="3">
        <f>IFERROR(__xludf.DUMMYFUNCTION("""COMPUTED_VALUE"""),0.0)</f>
        <v>0</v>
      </c>
      <c r="N9" s="3">
        <f>IFERROR(__xludf.DUMMYFUNCTION("""COMPUTED_VALUE"""),1.0)</f>
        <v>1</v>
      </c>
      <c r="O9" s="3">
        <f>IFERROR(__xludf.DUMMYFUNCTION("""COMPUTED_VALUE"""),1.0)</f>
        <v>1</v>
      </c>
      <c r="P9" s="3">
        <f>IFERROR(__xludf.DUMMYFUNCTION("""COMPUTED_VALUE"""),0.0)</f>
        <v>0</v>
      </c>
      <c r="Q9" s="3">
        <f>IFERROR(__xludf.DUMMYFUNCTION("""COMPUTED_VALUE"""),1.0)</f>
        <v>1</v>
      </c>
      <c r="S9" s="3">
        <v>1.0</v>
      </c>
      <c r="T9" s="3">
        <v>0.0</v>
      </c>
      <c r="U9" s="3">
        <v>1.0</v>
      </c>
      <c r="V9" s="3">
        <v>1.0</v>
      </c>
      <c r="W9" s="3">
        <v>0.0</v>
      </c>
      <c r="X9" s="3">
        <v>1.0</v>
      </c>
      <c r="Y9" s="3">
        <v>5.0</v>
      </c>
      <c r="Z9" s="3">
        <v>1.0</v>
      </c>
      <c r="AA9" s="3">
        <v>0.0</v>
      </c>
      <c r="AB9" s="3">
        <v>1.0</v>
      </c>
      <c r="AC9" s="3">
        <v>1.0</v>
      </c>
      <c r="AD9" s="3">
        <v>0.0</v>
      </c>
      <c r="AE9" s="3">
        <v>1.0</v>
      </c>
      <c r="AF9" s="3">
        <v>1.0</v>
      </c>
      <c r="AG9" s="3">
        <v>0.0</v>
      </c>
      <c r="AH9" s="3">
        <v>1.0</v>
      </c>
    </row>
    <row r="10">
      <c r="A10" s="2" t="s">
        <v>32</v>
      </c>
      <c r="B10" s="3">
        <f>IFERROR(__xludf.DUMMYFUNCTION("split(A10,""{,}"")"),1.0)</f>
        <v>1</v>
      </c>
      <c r="C10" s="3">
        <f>IFERROR(__xludf.DUMMYFUNCTION("""COMPUTED_VALUE"""),0.0)</f>
        <v>0</v>
      </c>
      <c r="D10" s="3">
        <f>IFERROR(__xludf.DUMMYFUNCTION("""COMPUTED_VALUE"""),0.0)</f>
        <v>0</v>
      </c>
      <c r="E10" s="3">
        <f>IFERROR(__xludf.DUMMYFUNCTION("""COMPUTED_VALUE"""),0.0)</f>
        <v>0</v>
      </c>
      <c r="F10" s="3">
        <f>IFERROR(__xludf.DUMMYFUNCTION("""COMPUTED_VALUE"""),0.0)</f>
        <v>0</v>
      </c>
      <c r="G10" s="3">
        <f>IFERROR(__xludf.DUMMYFUNCTION("""COMPUTED_VALUE"""),0.0)</f>
        <v>0</v>
      </c>
      <c r="H10" s="3">
        <f>IFERROR(__xludf.DUMMYFUNCTION("""COMPUTED_VALUE"""),0.0)</f>
        <v>0</v>
      </c>
      <c r="I10" s="3">
        <f>IFERROR(__xludf.DUMMYFUNCTION("""COMPUTED_VALUE"""),0.0)</f>
        <v>0</v>
      </c>
      <c r="J10" s="3">
        <f>IFERROR(__xludf.DUMMYFUNCTION("""COMPUTED_VALUE"""),0.0)</f>
        <v>0</v>
      </c>
      <c r="K10" s="3">
        <f>IFERROR(__xludf.DUMMYFUNCTION("""COMPUTED_VALUE"""),0.0)</f>
        <v>0</v>
      </c>
      <c r="L10" s="3">
        <f>IFERROR(__xludf.DUMMYFUNCTION("""COMPUTED_VALUE"""),0.0)</f>
        <v>0</v>
      </c>
      <c r="M10" s="3">
        <f>IFERROR(__xludf.DUMMYFUNCTION("""COMPUTED_VALUE"""),0.0)</f>
        <v>0</v>
      </c>
      <c r="N10" s="3">
        <f>IFERROR(__xludf.DUMMYFUNCTION("""COMPUTED_VALUE"""),0.0)</f>
        <v>0</v>
      </c>
      <c r="O10" s="3">
        <f>IFERROR(__xludf.DUMMYFUNCTION("""COMPUTED_VALUE"""),0.0)</f>
        <v>0</v>
      </c>
      <c r="P10" s="3">
        <f>IFERROR(__xludf.DUMMYFUNCTION("""COMPUTED_VALUE"""),6.0)</f>
        <v>6</v>
      </c>
      <c r="Q10" s="3">
        <f>IFERROR(__xludf.DUMMYFUNCTION("""COMPUTED_VALUE"""),1.0)</f>
        <v>1</v>
      </c>
      <c r="S10" s="3">
        <v>1.0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6.0</v>
      </c>
      <c r="AH10" s="3">
        <v>1.0</v>
      </c>
    </row>
    <row r="11">
      <c r="A11" s="2" t="s">
        <v>3</v>
      </c>
      <c r="B11" s="3">
        <f>IFERROR(__xludf.DUMMYFUNCTION("split(A11,""{,}"")"),1.0)</f>
        <v>1</v>
      </c>
      <c r="C11" s="3">
        <f>IFERROR(__xludf.DUMMYFUNCTION("""COMPUTED_VALUE"""),1.0)</f>
        <v>1</v>
      </c>
      <c r="D11" s="3">
        <f>IFERROR(__xludf.DUMMYFUNCTION("""COMPUTED_VALUE"""),1.0)</f>
        <v>1</v>
      </c>
      <c r="E11" s="3">
        <f>IFERROR(__xludf.DUMMYFUNCTION("""COMPUTED_VALUE"""),1.0)</f>
        <v>1</v>
      </c>
      <c r="F11" s="3">
        <f>IFERROR(__xludf.DUMMYFUNCTION("""COMPUTED_VALUE"""),1.0)</f>
        <v>1</v>
      </c>
      <c r="G11" s="3">
        <f>IFERROR(__xludf.DUMMYFUNCTION("""COMPUTED_VALUE"""),1.0)</f>
        <v>1</v>
      </c>
      <c r="H11" s="3">
        <f>IFERROR(__xludf.DUMMYFUNCTION("""COMPUTED_VALUE"""),1.0)</f>
        <v>1</v>
      </c>
      <c r="I11" s="3">
        <f>IFERROR(__xludf.DUMMYFUNCTION("""COMPUTED_VALUE"""),1.0)</f>
        <v>1</v>
      </c>
      <c r="J11" s="3">
        <f>IFERROR(__xludf.DUMMYFUNCTION("""COMPUTED_VALUE"""),1.0)</f>
        <v>1</v>
      </c>
      <c r="K11" s="3">
        <f>IFERROR(__xludf.DUMMYFUNCTION("""COMPUTED_VALUE"""),1.0)</f>
        <v>1</v>
      </c>
      <c r="L11" s="3">
        <f>IFERROR(__xludf.DUMMYFUNCTION("""COMPUTED_VALUE"""),1.0)</f>
        <v>1</v>
      </c>
      <c r="M11" s="3">
        <f>IFERROR(__xludf.DUMMYFUNCTION("""COMPUTED_VALUE"""),1.0)</f>
        <v>1</v>
      </c>
      <c r="N11" s="3">
        <f>IFERROR(__xludf.DUMMYFUNCTION("""COMPUTED_VALUE"""),1.0)</f>
        <v>1</v>
      </c>
      <c r="O11" s="3">
        <f>IFERROR(__xludf.DUMMYFUNCTION("""COMPUTED_VALUE"""),1.0)</f>
        <v>1</v>
      </c>
      <c r="P11" s="3">
        <f>IFERROR(__xludf.DUMMYFUNCTION("""COMPUTED_VALUE"""),1.0)</f>
        <v>1</v>
      </c>
      <c r="Q11" s="3">
        <f>IFERROR(__xludf.DUMMYFUNCTION("""COMPUTED_VALUE"""),1.0)</f>
        <v>1</v>
      </c>
      <c r="S11" s="3">
        <v>1.0</v>
      </c>
      <c r="T11" s="3">
        <v>1.0</v>
      </c>
      <c r="U11" s="3">
        <v>1.0</v>
      </c>
      <c r="V11" s="3">
        <v>1.0</v>
      </c>
      <c r="W11" s="3">
        <v>1.0</v>
      </c>
      <c r="X11" s="3">
        <v>1.0</v>
      </c>
      <c r="Y11" s="3">
        <v>1.0</v>
      </c>
      <c r="Z11" s="3">
        <v>1.0</v>
      </c>
      <c r="AA11" s="3">
        <v>1.0</v>
      </c>
      <c r="AB11" s="3">
        <v>1.0</v>
      </c>
      <c r="AC11" s="3">
        <v>1.0</v>
      </c>
      <c r="AD11" s="3">
        <v>1.0</v>
      </c>
      <c r="AE11" s="3">
        <v>1.0</v>
      </c>
      <c r="AF11" s="3">
        <v>1.0</v>
      </c>
      <c r="AG11" s="3">
        <v>1.0</v>
      </c>
      <c r="AH11" s="3">
        <v>1.0</v>
      </c>
    </row>
    <row r="12">
      <c r="A12" s="2" t="s">
        <v>33</v>
      </c>
    </row>
    <row r="13">
      <c r="A13" s="2" t="s">
        <v>53</v>
      </c>
    </row>
    <row r="14">
      <c r="A14" s="2" t="s">
        <v>3</v>
      </c>
      <c r="B14" s="3">
        <f>IFERROR(__xludf.DUMMYFUNCTION("split(A14,""{,}"")"),1.0)</f>
        <v>1</v>
      </c>
      <c r="C14" s="3">
        <f>IFERROR(__xludf.DUMMYFUNCTION("""COMPUTED_VALUE"""),1.0)</f>
        <v>1</v>
      </c>
      <c r="D14" s="3">
        <f>IFERROR(__xludf.DUMMYFUNCTION("""COMPUTED_VALUE"""),1.0)</f>
        <v>1</v>
      </c>
      <c r="E14" s="3">
        <f>IFERROR(__xludf.DUMMYFUNCTION("""COMPUTED_VALUE"""),1.0)</f>
        <v>1</v>
      </c>
      <c r="F14" s="3">
        <f>IFERROR(__xludf.DUMMYFUNCTION("""COMPUTED_VALUE"""),1.0)</f>
        <v>1</v>
      </c>
      <c r="G14" s="3">
        <f>IFERROR(__xludf.DUMMYFUNCTION("""COMPUTED_VALUE"""),1.0)</f>
        <v>1</v>
      </c>
      <c r="H14" s="3">
        <f>IFERROR(__xludf.DUMMYFUNCTION("""COMPUTED_VALUE"""),1.0)</f>
        <v>1</v>
      </c>
      <c r="I14" s="3">
        <f>IFERROR(__xludf.DUMMYFUNCTION("""COMPUTED_VALUE"""),1.0)</f>
        <v>1</v>
      </c>
      <c r="J14" s="3">
        <f>IFERROR(__xludf.DUMMYFUNCTION("""COMPUTED_VALUE"""),1.0)</f>
        <v>1</v>
      </c>
      <c r="K14" s="3">
        <f>IFERROR(__xludf.DUMMYFUNCTION("""COMPUTED_VALUE"""),1.0)</f>
        <v>1</v>
      </c>
      <c r="L14" s="3">
        <f>IFERROR(__xludf.DUMMYFUNCTION("""COMPUTED_VALUE"""),1.0)</f>
        <v>1</v>
      </c>
      <c r="M14" s="3">
        <f>IFERROR(__xludf.DUMMYFUNCTION("""COMPUTED_VALUE"""),1.0)</f>
        <v>1</v>
      </c>
      <c r="N14" s="3">
        <f>IFERROR(__xludf.DUMMYFUNCTION("""COMPUTED_VALUE"""),1.0)</f>
        <v>1</v>
      </c>
      <c r="O14" s="3">
        <f>IFERROR(__xludf.DUMMYFUNCTION("""COMPUTED_VALUE"""),1.0)</f>
        <v>1</v>
      </c>
      <c r="P14" s="3">
        <f>IFERROR(__xludf.DUMMYFUNCTION("""COMPUTED_VALUE"""),1.0)</f>
        <v>1</v>
      </c>
      <c r="Q14" s="3">
        <f>IFERROR(__xludf.DUMMYFUNCTION("""COMPUTED_VALUE"""),1.0)</f>
        <v>1</v>
      </c>
      <c r="S14" s="3">
        <v>1.0</v>
      </c>
      <c r="T14" s="3">
        <v>1.0</v>
      </c>
      <c r="U14" s="3">
        <v>1.0</v>
      </c>
      <c r="V14" s="3">
        <v>1.0</v>
      </c>
      <c r="W14" s="3">
        <v>1.0</v>
      </c>
      <c r="X14" s="3">
        <v>1.0</v>
      </c>
      <c r="Y14" s="3">
        <v>1.0</v>
      </c>
      <c r="Z14" s="3">
        <v>1.0</v>
      </c>
      <c r="AA14" s="3">
        <v>1.0</v>
      </c>
      <c r="AB14" s="3">
        <v>1.0</v>
      </c>
      <c r="AC14" s="3">
        <v>1.0</v>
      </c>
      <c r="AD14" s="3">
        <v>1.0</v>
      </c>
      <c r="AE14" s="3">
        <v>1.0</v>
      </c>
      <c r="AF14" s="3">
        <v>1.0</v>
      </c>
      <c r="AG14" s="3">
        <v>1.0</v>
      </c>
      <c r="AH14" s="3">
        <v>1.0</v>
      </c>
    </row>
    <row r="15">
      <c r="A15" s="2" t="s">
        <v>54</v>
      </c>
      <c r="B15" s="3">
        <f>IFERROR(__xludf.DUMMYFUNCTION("split(A15,""{,}"")"),1.0)</f>
        <v>1</v>
      </c>
      <c r="C15" s="3">
        <f>IFERROR(__xludf.DUMMYFUNCTION("""COMPUTED_VALUE"""),0.0)</f>
        <v>0</v>
      </c>
      <c r="D15" s="3">
        <f>IFERROR(__xludf.DUMMYFUNCTION("""COMPUTED_VALUE"""),0.0)</f>
        <v>0</v>
      </c>
      <c r="E15" s="3">
        <f>IFERROR(__xludf.DUMMYFUNCTION("""COMPUTED_VALUE"""),0.0)</f>
        <v>0</v>
      </c>
      <c r="F15" s="3">
        <f>IFERROR(__xludf.DUMMYFUNCTION("""COMPUTED_VALUE"""),1.0)</f>
        <v>1</v>
      </c>
      <c r="G15" s="3">
        <f>IFERROR(__xludf.DUMMYFUNCTION("""COMPUTED_VALUE"""),0.0)</f>
        <v>0</v>
      </c>
      <c r="H15" s="3">
        <f>IFERROR(__xludf.DUMMYFUNCTION("""COMPUTED_VALUE"""),0.0)</f>
        <v>0</v>
      </c>
      <c r="I15" s="3">
        <f>IFERROR(__xludf.DUMMYFUNCTION("""COMPUTED_VALUE"""),1.0)</f>
        <v>1</v>
      </c>
      <c r="J15" s="3">
        <f>IFERROR(__xludf.DUMMYFUNCTION("""COMPUTED_VALUE"""),0.0)</f>
        <v>0</v>
      </c>
      <c r="K15" s="3">
        <f>IFERROR(__xludf.DUMMYFUNCTION("""COMPUTED_VALUE"""),0.0)</f>
        <v>0</v>
      </c>
      <c r="L15" s="3">
        <f>IFERROR(__xludf.DUMMYFUNCTION("""COMPUTED_VALUE"""),0.0)</f>
        <v>0</v>
      </c>
      <c r="M15" s="3">
        <f>IFERROR(__xludf.DUMMYFUNCTION("""COMPUTED_VALUE"""),1.0)</f>
        <v>1</v>
      </c>
      <c r="N15" s="3">
        <f>IFERROR(__xludf.DUMMYFUNCTION("""COMPUTED_VALUE"""),0.0)</f>
        <v>0</v>
      </c>
      <c r="O15" s="3">
        <f>IFERROR(__xludf.DUMMYFUNCTION("""COMPUTED_VALUE"""),0.0)</f>
        <v>0</v>
      </c>
      <c r="P15" s="3">
        <f>IFERROR(__xludf.DUMMYFUNCTION("""COMPUTED_VALUE"""),0.0)</f>
        <v>0</v>
      </c>
      <c r="Q15" s="3">
        <f>IFERROR(__xludf.DUMMYFUNCTION("""COMPUTED_VALUE"""),1.0)</f>
        <v>1</v>
      </c>
      <c r="S15" s="3">
        <v>1.0</v>
      </c>
      <c r="T15" s="3">
        <v>0.0</v>
      </c>
      <c r="U15" s="3">
        <v>0.0</v>
      </c>
      <c r="V15" s="3">
        <v>0.0</v>
      </c>
      <c r="W15" s="3">
        <v>1.0</v>
      </c>
      <c r="X15" s="3">
        <v>0.0</v>
      </c>
      <c r="Y15" s="2">
        <v>4.0</v>
      </c>
      <c r="Z15" s="3">
        <v>1.0</v>
      </c>
      <c r="AA15" s="2">
        <v>4.0</v>
      </c>
      <c r="AB15" s="3">
        <v>0.0</v>
      </c>
      <c r="AC15" s="2">
        <v>5.0</v>
      </c>
      <c r="AD15" s="3">
        <v>1.0</v>
      </c>
      <c r="AE15" s="3">
        <v>0.0</v>
      </c>
      <c r="AF15" s="3">
        <v>0.0</v>
      </c>
      <c r="AG15" s="3">
        <v>0.0</v>
      </c>
      <c r="AH15" s="3">
        <v>1.0</v>
      </c>
    </row>
    <row r="16">
      <c r="A16" s="2" t="s">
        <v>55</v>
      </c>
      <c r="B16" s="3">
        <f>IFERROR(__xludf.DUMMYFUNCTION("split(A16,""{,}"")"),1.0)</f>
        <v>1</v>
      </c>
      <c r="C16" s="3">
        <f>IFERROR(__xludf.DUMMYFUNCTION("""COMPUTED_VALUE"""),0.0)</f>
        <v>0</v>
      </c>
      <c r="D16" s="3">
        <f>IFERROR(__xludf.DUMMYFUNCTION("""COMPUTED_VALUE"""),1.0)</f>
        <v>1</v>
      </c>
      <c r="E16" s="3">
        <f>IFERROR(__xludf.DUMMYFUNCTION("""COMPUTED_VALUE"""),0.0)</f>
        <v>0</v>
      </c>
      <c r="F16" s="3">
        <f>IFERROR(__xludf.DUMMYFUNCTION("""COMPUTED_VALUE"""),1.0)</f>
        <v>1</v>
      </c>
      <c r="G16" s="3">
        <f>IFERROR(__xludf.DUMMYFUNCTION("""COMPUTED_VALUE"""),0.0)</f>
        <v>0</v>
      </c>
      <c r="H16" s="3">
        <f>IFERROR(__xludf.DUMMYFUNCTION("""COMPUTED_VALUE"""),1.0)</f>
        <v>1</v>
      </c>
      <c r="I16" s="3">
        <f>IFERROR(__xludf.DUMMYFUNCTION("""COMPUTED_VALUE"""),1.0)</f>
        <v>1</v>
      </c>
      <c r="J16" s="3">
        <f>IFERROR(__xludf.DUMMYFUNCTION("""COMPUTED_VALUE"""),1.0)</f>
        <v>1</v>
      </c>
      <c r="K16" s="3">
        <f>IFERROR(__xludf.DUMMYFUNCTION("""COMPUTED_VALUE"""),0.0)</f>
        <v>0</v>
      </c>
      <c r="L16" s="3">
        <f>IFERROR(__xludf.DUMMYFUNCTION("""COMPUTED_VALUE"""),1.0)</f>
        <v>1</v>
      </c>
      <c r="M16" s="3">
        <f>IFERROR(__xludf.DUMMYFUNCTION("""COMPUTED_VALUE"""),1.0)</f>
        <v>1</v>
      </c>
      <c r="N16" s="3">
        <f>IFERROR(__xludf.DUMMYFUNCTION("""COMPUTED_VALUE"""),1.0)</f>
        <v>1</v>
      </c>
      <c r="O16" s="3">
        <f>IFERROR(__xludf.DUMMYFUNCTION("""COMPUTED_VALUE"""),0.0)</f>
        <v>0</v>
      </c>
      <c r="P16" s="3">
        <f>IFERROR(__xludf.DUMMYFUNCTION("""COMPUTED_VALUE"""),5.0)</f>
        <v>5</v>
      </c>
      <c r="Q16" s="3">
        <f>IFERROR(__xludf.DUMMYFUNCTION("""COMPUTED_VALUE"""),1.0)</f>
        <v>1</v>
      </c>
      <c r="S16" s="3">
        <v>1.0</v>
      </c>
      <c r="T16" s="3">
        <v>0.0</v>
      </c>
      <c r="U16" s="3">
        <v>1.0</v>
      </c>
      <c r="V16" s="3">
        <v>0.0</v>
      </c>
      <c r="W16" s="3">
        <v>1.0</v>
      </c>
      <c r="X16" s="3">
        <v>0.0</v>
      </c>
      <c r="Y16" s="3">
        <v>1.0</v>
      </c>
      <c r="Z16" s="3">
        <v>1.0</v>
      </c>
      <c r="AA16" s="3">
        <v>1.0</v>
      </c>
      <c r="AB16" s="3">
        <v>0.0</v>
      </c>
      <c r="AC16" s="3">
        <v>1.0</v>
      </c>
      <c r="AD16" s="3">
        <v>1.0</v>
      </c>
      <c r="AE16" s="3">
        <v>1.0</v>
      </c>
      <c r="AF16" s="3">
        <v>0.0</v>
      </c>
      <c r="AG16" s="3">
        <v>5.0</v>
      </c>
      <c r="AH16" s="3">
        <v>1.0</v>
      </c>
    </row>
    <row r="17">
      <c r="A17" s="2" t="s">
        <v>56</v>
      </c>
      <c r="B17" s="3">
        <f>IFERROR(__xludf.DUMMYFUNCTION("split(A17,""{,}"")"),1.0)</f>
        <v>1</v>
      </c>
      <c r="C17" s="3">
        <f>IFERROR(__xludf.DUMMYFUNCTION("""COMPUTED_VALUE"""),0.0)</f>
        <v>0</v>
      </c>
      <c r="D17" s="3">
        <f>IFERROR(__xludf.DUMMYFUNCTION("""COMPUTED_VALUE"""),1.0)</f>
        <v>1</v>
      </c>
      <c r="E17" s="3">
        <f>IFERROR(__xludf.DUMMYFUNCTION("""COMPUTED_VALUE"""),0.0)</f>
        <v>0</v>
      </c>
      <c r="F17" s="3">
        <f>IFERROR(__xludf.DUMMYFUNCTION("""COMPUTED_VALUE"""),0.0)</f>
        <v>0</v>
      </c>
      <c r="G17" s="3">
        <f>IFERROR(__xludf.DUMMYFUNCTION("""COMPUTED_VALUE"""),0.0)</f>
        <v>0</v>
      </c>
      <c r="H17" s="3">
        <f>IFERROR(__xludf.DUMMYFUNCTION("""COMPUTED_VALUE"""),0.0)</f>
        <v>0</v>
      </c>
      <c r="I17" s="3">
        <f>IFERROR(__xludf.DUMMYFUNCTION("""COMPUTED_VALUE"""),0.0)</f>
        <v>0</v>
      </c>
      <c r="J17" s="3">
        <f>IFERROR(__xludf.DUMMYFUNCTION("""COMPUTED_VALUE"""),0.0)</f>
        <v>0</v>
      </c>
      <c r="K17" s="3">
        <f>IFERROR(__xludf.DUMMYFUNCTION("""COMPUTED_VALUE"""),0.0)</f>
        <v>0</v>
      </c>
      <c r="L17" s="3">
        <f>IFERROR(__xludf.DUMMYFUNCTION("""COMPUTED_VALUE"""),0.0)</f>
        <v>0</v>
      </c>
      <c r="M17" s="3">
        <f>IFERROR(__xludf.DUMMYFUNCTION("""COMPUTED_VALUE"""),0.0)</f>
        <v>0</v>
      </c>
      <c r="N17" s="3">
        <f>IFERROR(__xludf.DUMMYFUNCTION("""COMPUTED_VALUE"""),0.0)</f>
        <v>0</v>
      </c>
      <c r="O17" s="3">
        <f>IFERROR(__xludf.DUMMYFUNCTION("""COMPUTED_VALUE"""),0.0)</f>
        <v>0</v>
      </c>
      <c r="P17" s="3">
        <f>IFERROR(__xludf.DUMMYFUNCTION("""COMPUTED_VALUE"""),1.0)</f>
        <v>1</v>
      </c>
      <c r="Q17" s="3">
        <f>IFERROR(__xludf.DUMMYFUNCTION("""COMPUTED_VALUE"""),1.0)</f>
        <v>1</v>
      </c>
      <c r="S17" s="3">
        <v>1.0</v>
      </c>
      <c r="T17" s="2">
        <v>4.0</v>
      </c>
      <c r="U17" s="3">
        <v>1.0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1.0</v>
      </c>
      <c r="AH17" s="3">
        <v>1.0</v>
      </c>
    </row>
    <row r="18">
      <c r="A18" s="2" t="s">
        <v>57</v>
      </c>
      <c r="B18" s="3">
        <f>IFERROR(__xludf.DUMMYFUNCTION("split(A18,""{,}"")"),1.0)</f>
        <v>1</v>
      </c>
      <c r="C18" s="3">
        <f>IFERROR(__xludf.DUMMYFUNCTION("""COMPUTED_VALUE"""),1.0)</f>
        <v>1</v>
      </c>
      <c r="D18" s="3">
        <f>IFERROR(__xludf.DUMMYFUNCTION("""COMPUTED_VALUE"""),1.0)</f>
        <v>1</v>
      </c>
      <c r="E18" s="3">
        <f>IFERROR(__xludf.DUMMYFUNCTION("""COMPUTED_VALUE"""),0.0)</f>
        <v>0</v>
      </c>
      <c r="F18" s="3">
        <f>IFERROR(__xludf.DUMMYFUNCTION("""COMPUTED_VALUE"""),1.0)</f>
        <v>1</v>
      </c>
      <c r="G18" s="3">
        <f>IFERROR(__xludf.DUMMYFUNCTION("""COMPUTED_VALUE"""),1.0)</f>
        <v>1</v>
      </c>
      <c r="H18" s="3">
        <f>IFERROR(__xludf.DUMMYFUNCTION("""COMPUTED_VALUE"""),1.0)</f>
        <v>1</v>
      </c>
      <c r="I18" s="3">
        <f>IFERROR(__xludf.DUMMYFUNCTION("""COMPUTED_VALUE"""),0.0)</f>
        <v>0</v>
      </c>
      <c r="J18" s="3">
        <f>IFERROR(__xludf.DUMMYFUNCTION("""COMPUTED_VALUE"""),1.0)</f>
        <v>1</v>
      </c>
      <c r="K18" s="3">
        <f>IFERROR(__xludf.DUMMYFUNCTION("""COMPUTED_VALUE"""),1.0)</f>
        <v>1</v>
      </c>
      <c r="L18" s="3">
        <f>IFERROR(__xludf.DUMMYFUNCTION("""COMPUTED_VALUE"""),1.0)</f>
        <v>1</v>
      </c>
      <c r="M18" s="3">
        <f>IFERROR(__xludf.DUMMYFUNCTION("""COMPUTED_VALUE"""),0.0)</f>
        <v>0</v>
      </c>
      <c r="N18" s="3">
        <f>IFERROR(__xludf.DUMMYFUNCTION("""COMPUTED_VALUE"""),1.0)</f>
        <v>1</v>
      </c>
      <c r="O18" s="3">
        <f>IFERROR(__xludf.DUMMYFUNCTION("""COMPUTED_VALUE"""),1.0)</f>
        <v>1</v>
      </c>
      <c r="P18" s="3">
        <f>IFERROR(__xludf.DUMMYFUNCTION("""COMPUTED_VALUE"""),1.0)</f>
        <v>1</v>
      </c>
      <c r="Q18" s="3">
        <f>IFERROR(__xludf.DUMMYFUNCTION("""COMPUTED_VALUE"""),1.0)</f>
        <v>1</v>
      </c>
      <c r="S18" s="3">
        <v>1.0</v>
      </c>
      <c r="T18" s="3">
        <v>1.0</v>
      </c>
      <c r="U18" s="3">
        <v>1.0</v>
      </c>
      <c r="V18" s="3">
        <v>0.0</v>
      </c>
      <c r="W18" s="3">
        <v>1.0</v>
      </c>
      <c r="X18" s="3">
        <v>1.0</v>
      </c>
      <c r="Y18" s="3">
        <v>1.0</v>
      </c>
      <c r="Z18" s="3">
        <v>0.0</v>
      </c>
      <c r="AA18" s="3">
        <v>1.0</v>
      </c>
      <c r="AB18" s="3">
        <v>1.0</v>
      </c>
      <c r="AC18" s="2">
        <v>0.0</v>
      </c>
      <c r="AD18" s="3">
        <v>0.0</v>
      </c>
      <c r="AE18" s="3">
        <v>1.0</v>
      </c>
      <c r="AF18" s="3">
        <v>1.0</v>
      </c>
      <c r="AG18" s="3">
        <v>1.0</v>
      </c>
      <c r="AH18" s="3">
        <v>1.0</v>
      </c>
    </row>
    <row r="19">
      <c r="A19" s="2" t="s">
        <v>18</v>
      </c>
      <c r="B19" s="3">
        <f>IFERROR(__xludf.DUMMYFUNCTION("split(A19,""{,}"")"),1.0)</f>
        <v>1</v>
      </c>
      <c r="C19" s="3">
        <f>IFERROR(__xludf.DUMMYFUNCTION("""COMPUTED_VALUE"""),0.0)</f>
        <v>0</v>
      </c>
      <c r="D19" s="3">
        <f>IFERROR(__xludf.DUMMYFUNCTION("""COMPUTED_VALUE"""),0.0)</f>
        <v>0</v>
      </c>
      <c r="E19" s="3">
        <f>IFERROR(__xludf.DUMMYFUNCTION("""COMPUTED_VALUE"""),0.0)</f>
        <v>0</v>
      </c>
      <c r="F19" s="3">
        <f>IFERROR(__xludf.DUMMYFUNCTION("""COMPUTED_VALUE"""),0.0)</f>
        <v>0</v>
      </c>
      <c r="G19" s="3">
        <f>IFERROR(__xludf.DUMMYFUNCTION("""COMPUTED_VALUE"""),0.0)</f>
        <v>0</v>
      </c>
      <c r="H19" s="3">
        <f>IFERROR(__xludf.DUMMYFUNCTION("""COMPUTED_VALUE"""),0.0)</f>
        <v>0</v>
      </c>
      <c r="I19" s="3">
        <f>IFERROR(__xludf.DUMMYFUNCTION("""COMPUTED_VALUE"""),0.0)</f>
        <v>0</v>
      </c>
      <c r="J19" s="3">
        <f>IFERROR(__xludf.DUMMYFUNCTION("""COMPUTED_VALUE"""),0.0)</f>
        <v>0</v>
      </c>
      <c r="K19" s="3">
        <f>IFERROR(__xludf.DUMMYFUNCTION("""COMPUTED_VALUE"""),0.0)</f>
        <v>0</v>
      </c>
      <c r="L19" s="3">
        <f>IFERROR(__xludf.DUMMYFUNCTION("""COMPUTED_VALUE"""),0.0)</f>
        <v>0</v>
      </c>
      <c r="M19" s="3">
        <f>IFERROR(__xludf.DUMMYFUNCTION("""COMPUTED_VALUE"""),0.0)</f>
        <v>0</v>
      </c>
      <c r="N19" s="3">
        <f>IFERROR(__xludf.DUMMYFUNCTION("""COMPUTED_VALUE"""),0.0)</f>
        <v>0</v>
      </c>
      <c r="O19" s="3">
        <f>IFERROR(__xludf.DUMMYFUNCTION("""COMPUTED_VALUE"""),0.0)</f>
        <v>0</v>
      </c>
      <c r="P19" s="3">
        <f>IFERROR(__xludf.DUMMYFUNCTION("""COMPUTED_VALUE"""),0.0)</f>
        <v>0</v>
      </c>
      <c r="Q19" s="3">
        <f>IFERROR(__xludf.DUMMYFUNCTION("""COMPUTED_VALUE"""),1.0)</f>
        <v>1</v>
      </c>
      <c r="S19" s="3">
        <v>1.0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2">
        <v>1.0</v>
      </c>
      <c r="AC19" s="2">
        <v>1.0</v>
      </c>
      <c r="AD19" s="3">
        <v>0.0</v>
      </c>
      <c r="AE19" s="3">
        <v>0.0</v>
      </c>
      <c r="AF19" s="3">
        <v>0.0</v>
      </c>
      <c r="AG19" s="3">
        <v>0.0</v>
      </c>
      <c r="AH19" s="3">
        <v>1.0</v>
      </c>
    </row>
    <row r="20">
      <c r="A20" s="2" t="s">
        <v>52</v>
      </c>
      <c r="B20" s="3">
        <f>IFERROR(__xludf.DUMMYFUNCTION("split(A20,""{,}"")"),1.0)</f>
        <v>1</v>
      </c>
      <c r="C20" s="3">
        <f>IFERROR(__xludf.DUMMYFUNCTION("""COMPUTED_VALUE"""),0.0)</f>
        <v>0</v>
      </c>
      <c r="D20" s="3">
        <f>IFERROR(__xludf.DUMMYFUNCTION("""COMPUTED_VALUE"""),1.0)</f>
        <v>1</v>
      </c>
      <c r="E20" s="3">
        <f>IFERROR(__xludf.DUMMYFUNCTION("""COMPUTED_VALUE"""),1.0)</f>
        <v>1</v>
      </c>
      <c r="F20" s="3">
        <f>IFERROR(__xludf.DUMMYFUNCTION("""COMPUTED_VALUE"""),0.0)</f>
        <v>0</v>
      </c>
      <c r="G20" s="3">
        <f>IFERROR(__xludf.DUMMYFUNCTION("""COMPUTED_VALUE"""),1.0)</f>
        <v>1</v>
      </c>
      <c r="H20" s="3">
        <f>IFERROR(__xludf.DUMMYFUNCTION("""COMPUTED_VALUE"""),5.0)</f>
        <v>5</v>
      </c>
      <c r="I20" s="3">
        <f>IFERROR(__xludf.DUMMYFUNCTION("""COMPUTED_VALUE"""),1.0)</f>
        <v>1</v>
      </c>
      <c r="J20" s="3">
        <f>IFERROR(__xludf.DUMMYFUNCTION("""COMPUTED_VALUE"""),0.0)</f>
        <v>0</v>
      </c>
      <c r="K20" s="3">
        <f>IFERROR(__xludf.DUMMYFUNCTION("""COMPUTED_VALUE"""),1.0)</f>
        <v>1</v>
      </c>
      <c r="L20" s="3">
        <f>IFERROR(__xludf.DUMMYFUNCTION("""COMPUTED_VALUE"""),1.0)</f>
        <v>1</v>
      </c>
      <c r="M20" s="3">
        <f>IFERROR(__xludf.DUMMYFUNCTION("""COMPUTED_VALUE"""),0.0)</f>
        <v>0</v>
      </c>
      <c r="N20" s="3">
        <f>IFERROR(__xludf.DUMMYFUNCTION("""COMPUTED_VALUE"""),1.0)</f>
        <v>1</v>
      </c>
      <c r="O20" s="3">
        <f>IFERROR(__xludf.DUMMYFUNCTION("""COMPUTED_VALUE"""),1.0)</f>
        <v>1</v>
      </c>
      <c r="P20" s="3">
        <f>IFERROR(__xludf.DUMMYFUNCTION("""COMPUTED_VALUE"""),0.0)</f>
        <v>0</v>
      </c>
      <c r="Q20" s="3">
        <f>IFERROR(__xludf.DUMMYFUNCTION("""COMPUTED_VALUE"""),1.0)</f>
        <v>1</v>
      </c>
      <c r="S20" s="3">
        <v>1.0</v>
      </c>
      <c r="T20" s="3">
        <v>0.0</v>
      </c>
      <c r="U20" s="3">
        <v>1.0</v>
      </c>
      <c r="V20" s="3">
        <v>1.0</v>
      </c>
      <c r="W20" s="3">
        <v>0.0</v>
      </c>
      <c r="X20" s="3">
        <v>1.0</v>
      </c>
      <c r="Y20" s="3">
        <v>5.0</v>
      </c>
      <c r="Z20" s="3">
        <v>1.0</v>
      </c>
      <c r="AA20" s="3">
        <v>0.0</v>
      </c>
      <c r="AB20" s="2">
        <v>5.0</v>
      </c>
      <c r="AC20" s="3">
        <v>1.0</v>
      </c>
      <c r="AD20" s="3">
        <v>0.0</v>
      </c>
      <c r="AE20" s="3">
        <v>1.0</v>
      </c>
      <c r="AF20" s="3">
        <v>1.0</v>
      </c>
      <c r="AG20" s="3">
        <v>0.0</v>
      </c>
      <c r="AH20" s="3">
        <v>1.0</v>
      </c>
    </row>
    <row r="21">
      <c r="A21" s="2" t="s">
        <v>17</v>
      </c>
      <c r="B21" s="3">
        <f>IFERROR(__xludf.DUMMYFUNCTION("split(A21,""{,}"")"),1.0)</f>
        <v>1</v>
      </c>
      <c r="C21" s="3">
        <f>IFERROR(__xludf.DUMMYFUNCTION("""COMPUTED_VALUE"""),6.0)</f>
        <v>6</v>
      </c>
      <c r="D21" s="3">
        <f>IFERROR(__xludf.DUMMYFUNCTION("""COMPUTED_VALUE"""),0.0)</f>
        <v>0</v>
      </c>
      <c r="E21" s="3">
        <f>IFERROR(__xludf.DUMMYFUNCTION("""COMPUTED_VALUE"""),0.0)</f>
        <v>0</v>
      </c>
      <c r="F21" s="3">
        <f>IFERROR(__xludf.DUMMYFUNCTION("""COMPUTED_VALUE"""),0.0)</f>
        <v>0</v>
      </c>
      <c r="G21" s="3">
        <f>IFERROR(__xludf.DUMMYFUNCTION("""COMPUTED_VALUE"""),0.0)</f>
        <v>0</v>
      </c>
      <c r="H21" s="3">
        <f>IFERROR(__xludf.DUMMYFUNCTION("""COMPUTED_VALUE"""),0.0)</f>
        <v>0</v>
      </c>
      <c r="I21" s="3">
        <f>IFERROR(__xludf.DUMMYFUNCTION("""COMPUTED_VALUE"""),0.0)</f>
        <v>0</v>
      </c>
      <c r="J21" s="3">
        <f>IFERROR(__xludf.DUMMYFUNCTION("""COMPUTED_VALUE"""),0.0)</f>
        <v>0</v>
      </c>
      <c r="K21" s="3">
        <f>IFERROR(__xludf.DUMMYFUNCTION("""COMPUTED_VALUE"""),0.0)</f>
        <v>0</v>
      </c>
      <c r="L21" s="3">
        <f>IFERROR(__xludf.DUMMYFUNCTION("""COMPUTED_VALUE"""),0.0)</f>
        <v>0</v>
      </c>
      <c r="M21" s="3">
        <f>IFERROR(__xludf.DUMMYFUNCTION("""COMPUTED_VALUE"""),0.0)</f>
        <v>0</v>
      </c>
      <c r="N21" s="3">
        <f>IFERROR(__xludf.DUMMYFUNCTION("""COMPUTED_VALUE"""),0.0)</f>
        <v>0</v>
      </c>
      <c r="O21" s="3">
        <f>IFERROR(__xludf.DUMMYFUNCTION("""COMPUTED_VALUE"""),0.0)</f>
        <v>0</v>
      </c>
      <c r="P21" s="3">
        <f>IFERROR(__xludf.DUMMYFUNCTION("""COMPUTED_VALUE"""),3.0)</f>
        <v>3</v>
      </c>
      <c r="Q21" s="3">
        <f>IFERROR(__xludf.DUMMYFUNCTION("""COMPUTED_VALUE"""),1.0)</f>
        <v>1</v>
      </c>
      <c r="S21" s="3">
        <v>1.0</v>
      </c>
      <c r="T21" s="3">
        <v>6.0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2">
        <v>1.0</v>
      </c>
      <c r="AD21" s="3">
        <v>0.0</v>
      </c>
      <c r="AE21" s="3">
        <v>0.0</v>
      </c>
      <c r="AF21" s="3">
        <v>0.0</v>
      </c>
      <c r="AG21" s="3">
        <v>3.0</v>
      </c>
      <c r="AH21" s="3">
        <v>1.0</v>
      </c>
    </row>
    <row r="22">
      <c r="A22" s="2" t="s">
        <v>3</v>
      </c>
      <c r="B22" s="3">
        <f>IFERROR(__xludf.DUMMYFUNCTION("split(A22,""{,}"")"),1.0)</f>
        <v>1</v>
      </c>
      <c r="C22" s="3">
        <f>IFERROR(__xludf.DUMMYFUNCTION("""COMPUTED_VALUE"""),1.0)</f>
        <v>1</v>
      </c>
      <c r="D22" s="3">
        <f>IFERROR(__xludf.DUMMYFUNCTION("""COMPUTED_VALUE"""),1.0)</f>
        <v>1</v>
      </c>
      <c r="E22" s="3">
        <f>IFERROR(__xludf.DUMMYFUNCTION("""COMPUTED_VALUE"""),1.0)</f>
        <v>1</v>
      </c>
      <c r="F22" s="3">
        <f>IFERROR(__xludf.DUMMYFUNCTION("""COMPUTED_VALUE"""),1.0)</f>
        <v>1</v>
      </c>
      <c r="G22" s="3">
        <f>IFERROR(__xludf.DUMMYFUNCTION("""COMPUTED_VALUE"""),1.0)</f>
        <v>1</v>
      </c>
      <c r="H22" s="3">
        <f>IFERROR(__xludf.DUMMYFUNCTION("""COMPUTED_VALUE"""),1.0)</f>
        <v>1</v>
      </c>
      <c r="I22" s="3">
        <f>IFERROR(__xludf.DUMMYFUNCTION("""COMPUTED_VALUE"""),1.0)</f>
        <v>1</v>
      </c>
      <c r="J22" s="3">
        <f>IFERROR(__xludf.DUMMYFUNCTION("""COMPUTED_VALUE"""),1.0)</f>
        <v>1</v>
      </c>
      <c r="K22" s="3">
        <f>IFERROR(__xludf.DUMMYFUNCTION("""COMPUTED_VALUE"""),1.0)</f>
        <v>1</v>
      </c>
      <c r="L22" s="3">
        <f>IFERROR(__xludf.DUMMYFUNCTION("""COMPUTED_VALUE"""),1.0)</f>
        <v>1</v>
      </c>
      <c r="M22" s="3">
        <f>IFERROR(__xludf.DUMMYFUNCTION("""COMPUTED_VALUE"""),1.0)</f>
        <v>1</v>
      </c>
      <c r="N22" s="3">
        <f>IFERROR(__xludf.DUMMYFUNCTION("""COMPUTED_VALUE"""),1.0)</f>
        <v>1</v>
      </c>
      <c r="O22" s="3">
        <f>IFERROR(__xludf.DUMMYFUNCTION("""COMPUTED_VALUE"""),1.0)</f>
        <v>1</v>
      </c>
      <c r="P22" s="3">
        <f>IFERROR(__xludf.DUMMYFUNCTION("""COMPUTED_VALUE"""),1.0)</f>
        <v>1</v>
      </c>
      <c r="Q22" s="3">
        <f>IFERROR(__xludf.DUMMYFUNCTION("""COMPUTED_VALUE"""),1.0)</f>
        <v>1</v>
      </c>
      <c r="S22" s="3">
        <v>1.0</v>
      </c>
      <c r="T22" s="3">
        <v>1.0</v>
      </c>
      <c r="U22" s="3">
        <v>1.0</v>
      </c>
      <c r="V22" s="3">
        <v>1.0</v>
      </c>
      <c r="W22" s="3">
        <v>1.0</v>
      </c>
      <c r="X22" s="3">
        <v>1.0</v>
      </c>
      <c r="Y22" s="3">
        <v>1.0</v>
      </c>
      <c r="Z22" s="3">
        <v>1.0</v>
      </c>
      <c r="AA22" s="3">
        <v>1.0</v>
      </c>
      <c r="AB22" s="3">
        <v>1.0</v>
      </c>
      <c r="AC22" s="3">
        <v>1.0</v>
      </c>
      <c r="AD22" s="3">
        <v>1.0</v>
      </c>
      <c r="AE22" s="3">
        <v>1.0</v>
      </c>
      <c r="AF22" s="3">
        <v>1.0</v>
      </c>
      <c r="AG22" s="3">
        <v>1.0</v>
      </c>
      <c r="AH22" s="3">
        <v>1.0</v>
      </c>
    </row>
    <row r="24">
      <c r="A24" s="2">
        <v>6.1</v>
      </c>
    </row>
    <row r="25">
      <c r="A25" s="2" t="s">
        <v>3</v>
      </c>
      <c r="B25" s="3">
        <f>IFERROR(__xludf.DUMMYFUNCTION("split(A25,""{,}"")"),1.0)</f>
        <v>1</v>
      </c>
      <c r="C25" s="3">
        <f>IFERROR(__xludf.DUMMYFUNCTION("""COMPUTED_VALUE"""),1.0)</f>
        <v>1</v>
      </c>
      <c r="D25" s="3">
        <f>IFERROR(__xludf.DUMMYFUNCTION("""COMPUTED_VALUE"""),1.0)</f>
        <v>1</v>
      </c>
      <c r="E25" s="3">
        <f>IFERROR(__xludf.DUMMYFUNCTION("""COMPUTED_VALUE"""),1.0)</f>
        <v>1</v>
      </c>
      <c r="F25" s="3">
        <f>IFERROR(__xludf.DUMMYFUNCTION("""COMPUTED_VALUE"""),1.0)</f>
        <v>1</v>
      </c>
      <c r="G25" s="3">
        <f>IFERROR(__xludf.DUMMYFUNCTION("""COMPUTED_VALUE"""),1.0)</f>
        <v>1</v>
      </c>
      <c r="H25" s="3">
        <f>IFERROR(__xludf.DUMMYFUNCTION("""COMPUTED_VALUE"""),1.0)</f>
        <v>1</v>
      </c>
      <c r="I25" s="3">
        <f>IFERROR(__xludf.DUMMYFUNCTION("""COMPUTED_VALUE"""),1.0)</f>
        <v>1</v>
      </c>
      <c r="J25" s="3">
        <f>IFERROR(__xludf.DUMMYFUNCTION("""COMPUTED_VALUE"""),1.0)</f>
        <v>1</v>
      </c>
      <c r="K25" s="3">
        <f>IFERROR(__xludf.DUMMYFUNCTION("""COMPUTED_VALUE"""),1.0)</f>
        <v>1</v>
      </c>
      <c r="L25" s="3">
        <f>IFERROR(__xludf.DUMMYFUNCTION("""COMPUTED_VALUE"""),1.0)</f>
        <v>1</v>
      </c>
      <c r="M25" s="3">
        <f>IFERROR(__xludf.DUMMYFUNCTION("""COMPUTED_VALUE"""),1.0)</f>
        <v>1</v>
      </c>
      <c r="N25" s="3">
        <f>IFERROR(__xludf.DUMMYFUNCTION("""COMPUTED_VALUE"""),1.0)</f>
        <v>1</v>
      </c>
      <c r="O25" s="3">
        <f>IFERROR(__xludf.DUMMYFUNCTION("""COMPUTED_VALUE"""),1.0)</f>
        <v>1</v>
      </c>
      <c r="P25" s="3">
        <f>IFERROR(__xludf.DUMMYFUNCTION("""COMPUTED_VALUE"""),1.0)</f>
        <v>1</v>
      </c>
      <c r="Q25" s="3">
        <f>IFERROR(__xludf.DUMMYFUNCTION("""COMPUTED_VALUE"""),1.0)</f>
        <v>1</v>
      </c>
      <c r="S25" s="3">
        <v>1.0</v>
      </c>
      <c r="T25" s="3">
        <v>1.0</v>
      </c>
      <c r="U25" s="3">
        <v>1.0</v>
      </c>
      <c r="V25" s="3">
        <v>1.0</v>
      </c>
      <c r="W25" s="3">
        <v>1.0</v>
      </c>
      <c r="X25" s="3">
        <v>1.0</v>
      </c>
      <c r="Y25" s="3">
        <v>1.0</v>
      </c>
      <c r="Z25" s="3">
        <v>1.0</v>
      </c>
      <c r="AA25" s="3">
        <v>1.0</v>
      </c>
      <c r="AB25" s="3">
        <v>1.0</v>
      </c>
      <c r="AC25" s="3">
        <v>1.0</v>
      </c>
      <c r="AD25" s="3">
        <v>1.0</v>
      </c>
      <c r="AE25" s="3">
        <v>1.0</v>
      </c>
      <c r="AF25" s="3">
        <v>1.0</v>
      </c>
      <c r="AG25" s="3">
        <v>1.0</v>
      </c>
      <c r="AH25" s="3">
        <v>1.0</v>
      </c>
    </row>
    <row r="26">
      <c r="A26" s="2" t="s">
        <v>58</v>
      </c>
      <c r="B26" s="3">
        <f>IFERROR(__xludf.DUMMYFUNCTION("split(A26,""{,}"")"),1.0)</f>
        <v>1</v>
      </c>
      <c r="C26" s="3">
        <f>IFERROR(__xludf.DUMMYFUNCTION("""COMPUTED_VALUE"""),0.0)</f>
        <v>0</v>
      </c>
      <c r="D26" s="3">
        <f>IFERROR(__xludf.DUMMYFUNCTION("""COMPUTED_VALUE"""),0.0)</f>
        <v>0</v>
      </c>
      <c r="E26" s="3">
        <f>IFERROR(__xludf.DUMMYFUNCTION("""COMPUTED_VALUE"""),0.0)</f>
        <v>0</v>
      </c>
      <c r="F26" s="3">
        <f>IFERROR(__xludf.DUMMYFUNCTION("""COMPUTED_VALUE"""),1.0)</f>
        <v>1</v>
      </c>
      <c r="G26" s="3">
        <f>IFERROR(__xludf.DUMMYFUNCTION("""COMPUTED_VALUE"""),0.0)</f>
        <v>0</v>
      </c>
      <c r="H26" s="3">
        <f>IFERROR(__xludf.DUMMYFUNCTION("""COMPUTED_VALUE"""),0.0)</f>
        <v>0</v>
      </c>
      <c r="I26" s="3">
        <f>IFERROR(__xludf.DUMMYFUNCTION("""COMPUTED_VALUE"""),0.0)</f>
        <v>0</v>
      </c>
      <c r="J26" s="3">
        <f>IFERROR(__xludf.DUMMYFUNCTION("""COMPUTED_VALUE"""),1.0)</f>
        <v>1</v>
      </c>
      <c r="K26" s="3">
        <f>IFERROR(__xludf.DUMMYFUNCTION("""COMPUTED_VALUE"""),4.0)</f>
        <v>4</v>
      </c>
      <c r="L26" s="3">
        <f>IFERROR(__xludf.DUMMYFUNCTION("""COMPUTED_VALUE"""),0.0)</f>
        <v>0</v>
      </c>
      <c r="M26" s="3">
        <f>IFERROR(__xludf.DUMMYFUNCTION("""COMPUTED_VALUE"""),0.0)</f>
        <v>0</v>
      </c>
      <c r="N26" s="3">
        <f>IFERROR(__xludf.DUMMYFUNCTION("""COMPUTED_VALUE"""),1.0)</f>
        <v>1</v>
      </c>
      <c r="O26" s="3">
        <f>IFERROR(__xludf.DUMMYFUNCTION("""COMPUTED_VALUE"""),0.0)</f>
        <v>0</v>
      </c>
      <c r="P26" s="3">
        <f>IFERROR(__xludf.DUMMYFUNCTION("""COMPUTED_VALUE"""),5.0)</f>
        <v>5</v>
      </c>
      <c r="Q26" s="3">
        <f>IFERROR(__xludf.DUMMYFUNCTION("""COMPUTED_VALUE"""),1.0)</f>
        <v>1</v>
      </c>
      <c r="S26" s="3">
        <v>1.0</v>
      </c>
      <c r="T26" s="3">
        <v>0.0</v>
      </c>
      <c r="U26" s="3">
        <v>0.0</v>
      </c>
      <c r="V26" s="3">
        <v>0.0</v>
      </c>
      <c r="W26" s="3">
        <v>1.0</v>
      </c>
      <c r="X26" s="3">
        <v>0.0</v>
      </c>
      <c r="Y26" s="3">
        <v>0.0</v>
      </c>
      <c r="Z26" s="3">
        <v>0.0</v>
      </c>
      <c r="AA26" s="3">
        <v>1.0</v>
      </c>
      <c r="AB26" s="3">
        <v>4.0</v>
      </c>
      <c r="AC26" s="3">
        <v>0.0</v>
      </c>
      <c r="AD26" s="3">
        <v>0.0</v>
      </c>
      <c r="AE26" s="3">
        <v>1.0</v>
      </c>
      <c r="AF26" s="3">
        <v>0.0</v>
      </c>
      <c r="AG26" s="3">
        <v>5.0</v>
      </c>
      <c r="AH26" s="3">
        <v>1.0</v>
      </c>
    </row>
    <row r="27">
      <c r="A27" s="2" t="s">
        <v>59</v>
      </c>
      <c r="B27" s="3">
        <f>IFERROR(__xludf.DUMMYFUNCTION("split(A27,""{,}"")"),1.0)</f>
        <v>1</v>
      </c>
      <c r="C27" s="3">
        <f>IFERROR(__xludf.DUMMYFUNCTION("""COMPUTED_VALUE"""),5.0)</f>
        <v>5</v>
      </c>
      <c r="D27" s="3">
        <f>IFERROR(__xludf.DUMMYFUNCTION("""COMPUTED_VALUE"""),1.0)</f>
        <v>1</v>
      </c>
      <c r="E27" s="3">
        <f>IFERROR(__xludf.DUMMYFUNCTION("""COMPUTED_VALUE"""),0.0)</f>
        <v>0</v>
      </c>
      <c r="F27" s="3">
        <f>IFERROR(__xludf.DUMMYFUNCTION("""COMPUTED_VALUE"""),1.0)</f>
        <v>1</v>
      </c>
      <c r="G27" s="3">
        <f>IFERROR(__xludf.DUMMYFUNCTION("""COMPUTED_VALUE"""),0.0)</f>
        <v>0</v>
      </c>
      <c r="H27" s="3">
        <f>IFERROR(__xludf.DUMMYFUNCTION("""COMPUTED_VALUE"""),1.0)</f>
        <v>1</v>
      </c>
      <c r="I27" s="3">
        <f>IFERROR(__xludf.DUMMYFUNCTION("""COMPUTED_VALUE"""),0.0)</f>
        <v>0</v>
      </c>
      <c r="J27" s="3">
        <f>IFERROR(__xludf.DUMMYFUNCTION("""COMPUTED_VALUE"""),1.0)</f>
        <v>1</v>
      </c>
      <c r="K27" s="3">
        <f>IFERROR(__xludf.DUMMYFUNCTION("""COMPUTED_VALUE"""),0.0)</f>
        <v>0</v>
      </c>
      <c r="L27" s="3">
        <f>IFERROR(__xludf.DUMMYFUNCTION("""COMPUTED_VALUE"""),1.0)</f>
        <v>1</v>
      </c>
      <c r="M27" s="3">
        <f>IFERROR(__xludf.DUMMYFUNCTION("""COMPUTED_VALUE"""),0.0)</f>
        <v>0</v>
      </c>
      <c r="N27" s="3">
        <f>IFERROR(__xludf.DUMMYFUNCTION("""COMPUTED_VALUE"""),1.0)</f>
        <v>1</v>
      </c>
      <c r="O27" s="3">
        <f>IFERROR(__xludf.DUMMYFUNCTION("""COMPUTED_VALUE"""),0.0)</f>
        <v>0</v>
      </c>
      <c r="P27" s="3">
        <f>IFERROR(__xludf.DUMMYFUNCTION("""COMPUTED_VALUE"""),0.0)</f>
        <v>0</v>
      </c>
      <c r="Q27" s="3">
        <f>IFERROR(__xludf.DUMMYFUNCTION("""COMPUTED_VALUE"""),1.0)</f>
        <v>1</v>
      </c>
      <c r="S27" s="3">
        <v>1.0</v>
      </c>
      <c r="T27" s="3">
        <v>5.0</v>
      </c>
      <c r="U27" s="3">
        <v>1.0</v>
      </c>
      <c r="V27" s="3">
        <v>0.0</v>
      </c>
      <c r="W27" s="3">
        <v>1.0</v>
      </c>
      <c r="X27" s="3">
        <v>0.0</v>
      </c>
      <c r="Y27" s="3">
        <v>1.0</v>
      </c>
      <c r="Z27" s="3">
        <v>0.0</v>
      </c>
      <c r="AA27" s="3">
        <v>1.0</v>
      </c>
      <c r="AB27" s="3">
        <v>0.0</v>
      </c>
      <c r="AC27" s="3">
        <v>1.0</v>
      </c>
      <c r="AD27" s="3">
        <v>0.0</v>
      </c>
      <c r="AE27" s="3">
        <v>1.0</v>
      </c>
      <c r="AF27" s="3">
        <v>0.0</v>
      </c>
      <c r="AG27" s="3">
        <v>0.0</v>
      </c>
      <c r="AH27" s="3">
        <v>1.0</v>
      </c>
    </row>
    <row r="28">
      <c r="A28" s="2" t="s">
        <v>60</v>
      </c>
      <c r="B28" s="3">
        <f>IFERROR(__xludf.DUMMYFUNCTION("split(A28,""{,}"")"),1.0)</f>
        <v>1</v>
      </c>
      <c r="C28" s="3">
        <f>IFERROR(__xludf.DUMMYFUNCTION("""COMPUTED_VALUE"""),0.0)</f>
        <v>0</v>
      </c>
      <c r="D28" s="3">
        <f>IFERROR(__xludf.DUMMYFUNCTION("""COMPUTED_VALUE"""),1.0)</f>
        <v>1</v>
      </c>
      <c r="E28" s="3">
        <f>IFERROR(__xludf.DUMMYFUNCTION("""COMPUTED_VALUE"""),0.0)</f>
        <v>0</v>
      </c>
      <c r="F28" s="3">
        <f>IFERROR(__xludf.DUMMYFUNCTION("""COMPUTED_VALUE"""),0.0)</f>
        <v>0</v>
      </c>
      <c r="G28" s="3">
        <f>IFERROR(__xludf.DUMMYFUNCTION("""COMPUTED_VALUE"""),0.0)</f>
        <v>0</v>
      </c>
      <c r="H28" s="3">
        <f>IFERROR(__xludf.DUMMYFUNCTION("""COMPUTED_VALUE"""),1.0)</f>
        <v>1</v>
      </c>
      <c r="I28" s="3">
        <f>IFERROR(__xludf.DUMMYFUNCTION("""COMPUTED_VALUE"""),0.0)</f>
        <v>0</v>
      </c>
      <c r="J28" s="3">
        <f>IFERROR(__xludf.DUMMYFUNCTION("""COMPUTED_VALUE"""),0.0)</f>
        <v>0</v>
      </c>
      <c r="K28" s="3">
        <f>IFERROR(__xludf.DUMMYFUNCTION("""COMPUTED_VALUE"""),0.0)</f>
        <v>0</v>
      </c>
      <c r="L28" s="3">
        <f>IFERROR(__xludf.DUMMYFUNCTION("""COMPUTED_VALUE"""),1.0)</f>
        <v>1</v>
      </c>
      <c r="M28" s="3">
        <f>IFERROR(__xludf.DUMMYFUNCTION("""COMPUTED_VALUE"""),0.0)</f>
        <v>0</v>
      </c>
      <c r="N28" s="3">
        <f>IFERROR(__xludf.DUMMYFUNCTION("""COMPUTED_VALUE"""),2.0)</f>
        <v>2</v>
      </c>
      <c r="O28" s="3">
        <f>IFERROR(__xludf.DUMMYFUNCTION("""COMPUTED_VALUE"""),0.0)</f>
        <v>0</v>
      </c>
      <c r="P28" s="3">
        <f>IFERROR(__xludf.DUMMYFUNCTION("""COMPUTED_VALUE"""),0.0)</f>
        <v>0</v>
      </c>
      <c r="Q28" s="3">
        <f>IFERROR(__xludf.DUMMYFUNCTION("""COMPUTED_VALUE"""),1.0)</f>
        <v>1</v>
      </c>
      <c r="S28" s="3">
        <v>1.0</v>
      </c>
      <c r="T28" s="3">
        <v>0.0</v>
      </c>
      <c r="U28" s="3">
        <v>1.0</v>
      </c>
      <c r="V28" s="3">
        <v>0.0</v>
      </c>
      <c r="W28" s="3">
        <v>0.0</v>
      </c>
      <c r="X28" s="3">
        <v>0.0</v>
      </c>
      <c r="Y28" s="2">
        <v>5.0</v>
      </c>
      <c r="Z28" s="3">
        <v>0.0</v>
      </c>
      <c r="AA28" s="3">
        <v>0.0</v>
      </c>
      <c r="AB28" s="3">
        <v>0.0</v>
      </c>
      <c r="AC28" s="3">
        <v>1.0</v>
      </c>
      <c r="AD28" s="3">
        <v>0.0</v>
      </c>
      <c r="AE28" s="3">
        <v>2.0</v>
      </c>
      <c r="AF28" s="3">
        <v>0.0</v>
      </c>
      <c r="AG28" s="3">
        <v>0.0</v>
      </c>
      <c r="AH28" s="3">
        <v>1.0</v>
      </c>
    </row>
    <row r="29">
      <c r="A29" s="2" t="s">
        <v>61</v>
      </c>
      <c r="B29" s="3">
        <f>IFERROR(__xludf.DUMMYFUNCTION("split(A29,""{,}"")"),1.0)</f>
        <v>1</v>
      </c>
      <c r="C29" s="3">
        <f>IFERROR(__xludf.DUMMYFUNCTION("""COMPUTED_VALUE"""),0.0)</f>
        <v>0</v>
      </c>
      <c r="D29" s="3">
        <f>IFERROR(__xludf.DUMMYFUNCTION("""COMPUTED_VALUE"""),1.0)</f>
        <v>1</v>
      </c>
      <c r="E29" s="3">
        <f>IFERROR(__xludf.DUMMYFUNCTION("""COMPUTED_VALUE"""),1.0)</f>
        <v>1</v>
      </c>
      <c r="F29" s="3">
        <f>IFERROR(__xludf.DUMMYFUNCTION("""COMPUTED_VALUE"""),1.0)</f>
        <v>1</v>
      </c>
      <c r="G29" s="3">
        <f>IFERROR(__xludf.DUMMYFUNCTION("""COMPUTED_VALUE"""),0.0)</f>
        <v>0</v>
      </c>
      <c r="H29" s="3">
        <f>IFERROR(__xludf.DUMMYFUNCTION("""COMPUTED_VALUE"""),1.0)</f>
        <v>1</v>
      </c>
      <c r="I29" s="3">
        <f>IFERROR(__xludf.DUMMYFUNCTION("""COMPUTED_VALUE"""),1.0)</f>
        <v>1</v>
      </c>
      <c r="J29" s="3">
        <f>IFERROR(__xludf.DUMMYFUNCTION("""COMPUTED_VALUE"""),1.0)</f>
        <v>1</v>
      </c>
      <c r="K29" s="3">
        <f>IFERROR(__xludf.DUMMYFUNCTION("""COMPUTED_VALUE"""),0.0)</f>
        <v>0</v>
      </c>
      <c r="L29" s="3">
        <f>IFERROR(__xludf.DUMMYFUNCTION("""COMPUTED_VALUE"""),1.0)</f>
        <v>1</v>
      </c>
      <c r="M29" s="3">
        <f>IFERROR(__xludf.DUMMYFUNCTION("""COMPUTED_VALUE"""),1.0)</f>
        <v>1</v>
      </c>
      <c r="N29" s="3">
        <f>IFERROR(__xludf.DUMMYFUNCTION("""COMPUTED_VALUE"""),1.0)</f>
        <v>1</v>
      </c>
      <c r="O29" s="3">
        <f>IFERROR(__xludf.DUMMYFUNCTION("""COMPUTED_VALUE"""),0.0)</f>
        <v>0</v>
      </c>
      <c r="P29" s="3">
        <f>IFERROR(__xludf.DUMMYFUNCTION("""COMPUTED_VALUE"""),1.0)</f>
        <v>1</v>
      </c>
      <c r="Q29" s="3">
        <f>IFERROR(__xludf.DUMMYFUNCTION("""COMPUTED_VALUE"""),1.0)</f>
        <v>1</v>
      </c>
      <c r="S29" s="3">
        <v>1.0</v>
      </c>
      <c r="T29" s="3">
        <v>0.0</v>
      </c>
      <c r="U29" s="3">
        <v>1.0</v>
      </c>
      <c r="V29" s="3">
        <v>1.0</v>
      </c>
      <c r="W29" s="3">
        <v>1.0</v>
      </c>
      <c r="X29" s="3">
        <v>0.0</v>
      </c>
      <c r="Y29" s="2">
        <v>5.0</v>
      </c>
      <c r="Z29" s="2">
        <v>5.0</v>
      </c>
      <c r="AA29" s="3">
        <v>1.0</v>
      </c>
      <c r="AB29" s="3">
        <v>0.0</v>
      </c>
      <c r="AC29" s="3">
        <v>1.0</v>
      </c>
      <c r="AD29" s="3">
        <v>1.0</v>
      </c>
      <c r="AE29" s="3">
        <v>1.0</v>
      </c>
      <c r="AF29" s="3">
        <v>0.0</v>
      </c>
      <c r="AG29" s="3">
        <v>1.0</v>
      </c>
      <c r="AH29" s="3">
        <v>1.0</v>
      </c>
    </row>
    <row r="30">
      <c r="A30" s="2" t="s">
        <v>18</v>
      </c>
      <c r="B30" s="3">
        <f>IFERROR(__xludf.DUMMYFUNCTION("split(A30,""{,}"")"),1.0)</f>
        <v>1</v>
      </c>
      <c r="C30" s="3">
        <f>IFERROR(__xludf.DUMMYFUNCTION("""COMPUTED_VALUE"""),0.0)</f>
        <v>0</v>
      </c>
      <c r="D30" s="3">
        <f>IFERROR(__xludf.DUMMYFUNCTION("""COMPUTED_VALUE"""),0.0)</f>
        <v>0</v>
      </c>
      <c r="E30" s="3">
        <f>IFERROR(__xludf.DUMMYFUNCTION("""COMPUTED_VALUE"""),0.0)</f>
        <v>0</v>
      </c>
      <c r="F30" s="3">
        <f>IFERROR(__xludf.DUMMYFUNCTION("""COMPUTED_VALUE"""),0.0)</f>
        <v>0</v>
      </c>
      <c r="G30" s="3">
        <f>IFERROR(__xludf.DUMMYFUNCTION("""COMPUTED_VALUE"""),0.0)</f>
        <v>0</v>
      </c>
      <c r="H30" s="3">
        <f>IFERROR(__xludf.DUMMYFUNCTION("""COMPUTED_VALUE"""),0.0)</f>
        <v>0</v>
      </c>
      <c r="I30" s="3">
        <f>IFERROR(__xludf.DUMMYFUNCTION("""COMPUTED_VALUE"""),0.0)</f>
        <v>0</v>
      </c>
      <c r="J30" s="3">
        <f>IFERROR(__xludf.DUMMYFUNCTION("""COMPUTED_VALUE"""),0.0)</f>
        <v>0</v>
      </c>
      <c r="K30" s="3">
        <f>IFERROR(__xludf.DUMMYFUNCTION("""COMPUTED_VALUE"""),0.0)</f>
        <v>0</v>
      </c>
      <c r="L30" s="3">
        <f>IFERROR(__xludf.DUMMYFUNCTION("""COMPUTED_VALUE"""),0.0)</f>
        <v>0</v>
      </c>
      <c r="M30" s="3">
        <f>IFERROR(__xludf.DUMMYFUNCTION("""COMPUTED_VALUE"""),0.0)</f>
        <v>0</v>
      </c>
      <c r="N30" s="3">
        <f>IFERROR(__xludf.DUMMYFUNCTION("""COMPUTED_VALUE"""),0.0)</f>
        <v>0</v>
      </c>
      <c r="O30" s="3">
        <f>IFERROR(__xludf.DUMMYFUNCTION("""COMPUTED_VALUE"""),0.0)</f>
        <v>0</v>
      </c>
      <c r="P30" s="3">
        <f>IFERROR(__xludf.DUMMYFUNCTION("""COMPUTED_VALUE"""),0.0)</f>
        <v>0</v>
      </c>
      <c r="Q30" s="3">
        <f>IFERROR(__xludf.DUMMYFUNCTION("""COMPUTED_VALUE"""),1.0)</f>
        <v>1</v>
      </c>
      <c r="S30" s="3">
        <v>1.0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1.0</v>
      </c>
    </row>
    <row r="31">
      <c r="A31" s="2" t="s">
        <v>62</v>
      </c>
      <c r="B31" s="3">
        <f>IFERROR(__xludf.DUMMYFUNCTION("split(A31,""{,}"")"),1.0)</f>
        <v>1</v>
      </c>
      <c r="C31" s="3">
        <f>IFERROR(__xludf.DUMMYFUNCTION("""COMPUTED_VALUE"""),1.0)</f>
        <v>1</v>
      </c>
      <c r="D31" s="3">
        <f>IFERROR(__xludf.DUMMYFUNCTION("""COMPUTED_VALUE"""),0.0)</f>
        <v>0</v>
      </c>
      <c r="E31" s="3">
        <f>IFERROR(__xludf.DUMMYFUNCTION("""COMPUTED_VALUE"""),1.0)</f>
        <v>1</v>
      </c>
      <c r="F31" s="3">
        <f>IFERROR(__xludf.DUMMYFUNCTION("""COMPUTED_VALUE"""),5.0)</f>
        <v>5</v>
      </c>
      <c r="G31" s="3">
        <f>IFERROR(__xludf.DUMMYFUNCTION("""COMPUTED_VALUE"""),1.0)</f>
        <v>1</v>
      </c>
      <c r="H31" s="3">
        <f>IFERROR(__xludf.DUMMYFUNCTION("""COMPUTED_VALUE"""),0.0)</f>
        <v>0</v>
      </c>
      <c r="I31" s="3">
        <f>IFERROR(__xludf.DUMMYFUNCTION("""COMPUTED_VALUE"""),1.0)</f>
        <v>1</v>
      </c>
      <c r="J31" s="3">
        <f>IFERROR(__xludf.DUMMYFUNCTION("""COMPUTED_VALUE"""),1.0)</f>
        <v>1</v>
      </c>
      <c r="K31" s="3">
        <f>IFERROR(__xludf.DUMMYFUNCTION("""COMPUTED_VALUE"""),0.0)</f>
        <v>0</v>
      </c>
      <c r="L31" s="3">
        <f>IFERROR(__xludf.DUMMYFUNCTION("""COMPUTED_VALUE"""),5.0)</f>
        <v>5</v>
      </c>
      <c r="M31" s="3">
        <f>IFERROR(__xludf.DUMMYFUNCTION("""COMPUTED_VALUE"""),1.0)</f>
        <v>1</v>
      </c>
      <c r="N31" s="3">
        <f>IFERROR(__xludf.DUMMYFUNCTION("""COMPUTED_VALUE"""),0.0)</f>
        <v>0</v>
      </c>
      <c r="O31" s="3">
        <f>IFERROR(__xludf.DUMMYFUNCTION("""COMPUTED_VALUE"""),1.0)</f>
        <v>1</v>
      </c>
      <c r="P31" s="3">
        <f>IFERROR(__xludf.DUMMYFUNCTION("""COMPUTED_VALUE"""),1.0)</f>
        <v>1</v>
      </c>
      <c r="Q31" s="3">
        <f>IFERROR(__xludf.DUMMYFUNCTION("""COMPUTED_VALUE"""),1.0)</f>
        <v>1</v>
      </c>
      <c r="S31" s="3">
        <v>1.0</v>
      </c>
      <c r="T31" s="3">
        <v>1.0</v>
      </c>
      <c r="U31" s="3">
        <v>0.0</v>
      </c>
      <c r="V31" s="3">
        <v>1.0</v>
      </c>
      <c r="W31" s="3">
        <v>5.0</v>
      </c>
      <c r="X31" s="3">
        <v>1.0</v>
      </c>
      <c r="Y31" s="3">
        <v>0.0</v>
      </c>
      <c r="Z31" s="3">
        <v>1.0</v>
      </c>
      <c r="AA31" s="3">
        <v>1.0</v>
      </c>
      <c r="AB31" s="3">
        <v>0.0</v>
      </c>
      <c r="AC31" s="2">
        <v>4.0</v>
      </c>
      <c r="AD31" s="3">
        <v>1.0</v>
      </c>
      <c r="AE31" s="3">
        <v>0.0</v>
      </c>
      <c r="AF31" s="3">
        <v>1.0</v>
      </c>
      <c r="AG31" s="3">
        <v>1.0</v>
      </c>
      <c r="AH31" s="3">
        <v>1.0</v>
      </c>
    </row>
    <row r="32">
      <c r="A32" s="2" t="s">
        <v>32</v>
      </c>
      <c r="B32" s="3">
        <f>IFERROR(__xludf.DUMMYFUNCTION("split(A32,""{,}"")"),1.0)</f>
        <v>1</v>
      </c>
      <c r="C32" s="3">
        <f>IFERROR(__xludf.DUMMYFUNCTION("""COMPUTED_VALUE"""),0.0)</f>
        <v>0</v>
      </c>
      <c r="D32" s="3">
        <f>IFERROR(__xludf.DUMMYFUNCTION("""COMPUTED_VALUE"""),0.0)</f>
        <v>0</v>
      </c>
      <c r="E32" s="3">
        <f>IFERROR(__xludf.DUMMYFUNCTION("""COMPUTED_VALUE"""),0.0)</f>
        <v>0</v>
      </c>
      <c r="F32" s="3">
        <f>IFERROR(__xludf.DUMMYFUNCTION("""COMPUTED_VALUE"""),0.0)</f>
        <v>0</v>
      </c>
      <c r="G32" s="3">
        <f>IFERROR(__xludf.DUMMYFUNCTION("""COMPUTED_VALUE"""),0.0)</f>
        <v>0</v>
      </c>
      <c r="H32" s="3">
        <f>IFERROR(__xludf.DUMMYFUNCTION("""COMPUTED_VALUE"""),0.0)</f>
        <v>0</v>
      </c>
      <c r="I32" s="3">
        <f>IFERROR(__xludf.DUMMYFUNCTION("""COMPUTED_VALUE"""),0.0)</f>
        <v>0</v>
      </c>
      <c r="J32" s="3">
        <f>IFERROR(__xludf.DUMMYFUNCTION("""COMPUTED_VALUE"""),0.0)</f>
        <v>0</v>
      </c>
      <c r="K32" s="3">
        <f>IFERROR(__xludf.DUMMYFUNCTION("""COMPUTED_VALUE"""),0.0)</f>
        <v>0</v>
      </c>
      <c r="L32" s="3">
        <f>IFERROR(__xludf.DUMMYFUNCTION("""COMPUTED_VALUE"""),0.0)</f>
        <v>0</v>
      </c>
      <c r="M32" s="3">
        <f>IFERROR(__xludf.DUMMYFUNCTION("""COMPUTED_VALUE"""),0.0)</f>
        <v>0</v>
      </c>
      <c r="N32" s="3">
        <f>IFERROR(__xludf.DUMMYFUNCTION("""COMPUTED_VALUE"""),0.0)</f>
        <v>0</v>
      </c>
      <c r="O32" s="3">
        <f>IFERROR(__xludf.DUMMYFUNCTION("""COMPUTED_VALUE"""),0.0)</f>
        <v>0</v>
      </c>
      <c r="P32" s="3">
        <f>IFERROR(__xludf.DUMMYFUNCTION("""COMPUTED_VALUE"""),6.0)</f>
        <v>6</v>
      </c>
      <c r="Q32" s="3">
        <f>IFERROR(__xludf.DUMMYFUNCTION("""COMPUTED_VALUE"""),1.0)</f>
        <v>1</v>
      </c>
      <c r="S32" s="3">
        <v>1.0</v>
      </c>
      <c r="T32" s="3">
        <v>0.0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0.0</v>
      </c>
      <c r="AA32" s="2">
        <v>1.0</v>
      </c>
      <c r="AB32" s="3">
        <v>0.0</v>
      </c>
      <c r="AC32" s="3">
        <v>0.0</v>
      </c>
      <c r="AD32" s="3">
        <v>0.0</v>
      </c>
      <c r="AE32" s="3">
        <v>0.0</v>
      </c>
      <c r="AF32" s="3">
        <v>0.0</v>
      </c>
      <c r="AG32" s="3">
        <v>6.0</v>
      </c>
      <c r="AH32" s="3">
        <v>1.0</v>
      </c>
    </row>
    <row r="33">
      <c r="A33" s="2" t="s">
        <v>3</v>
      </c>
      <c r="B33" s="3">
        <f>IFERROR(__xludf.DUMMYFUNCTION("split(A33,""{,}"")"),1.0)</f>
        <v>1</v>
      </c>
      <c r="C33" s="3">
        <f>IFERROR(__xludf.DUMMYFUNCTION("""COMPUTED_VALUE"""),1.0)</f>
        <v>1</v>
      </c>
      <c r="D33" s="3">
        <f>IFERROR(__xludf.DUMMYFUNCTION("""COMPUTED_VALUE"""),1.0)</f>
        <v>1</v>
      </c>
      <c r="E33" s="3">
        <f>IFERROR(__xludf.DUMMYFUNCTION("""COMPUTED_VALUE"""),1.0)</f>
        <v>1</v>
      </c>
      <c r="F33" s="3">
        <f>IFERROR(__xludf.DUMMYFUNCTION("""COMPUTED_VALUE"""),1.0)</f>
        <v>1</v>
      </c>
      <c r="G33" s="3">
        <f>IFERROR(__xludf.DUMMYFUNCTION("""COMPUTED_VALUE"""),1.0)</f>
        <v>1</v>
      </c>
      <c r="H33" s="3">
        <f>IFERROR(__xludf.DUMMYFUNCTION("""COMPUTED_VALUE"""),1.0)</f>
        <v>1</v>
      </c>
      <c r="I33" s="3">
        <f>IFERROR(__xludf.DUMMYFUNCTION("""COMPUTED_VALUE"""),1.0)</f>
        <v>1</v>
      </c>
      <c r="J33" s="3">
        <f>IFERROR(__xludf.DUMMYFUNCTION("""COMPUTED_VALUE"""),1.0)</f>
        <v>1</v>
      </c>
      <c r="K33" s="3">
        <f>IFERROR(__xludf.DUMMYFUNCTION("""COMPUTED_VALUE"""),1.0)</f>
        <v>1</v>
      </c>
      <c r="L33" s="3">
        <f>IFERROR(__xludf.DUMMYFUNCTION("""COMPUTED_VALUE"""),1.0)</f>
        <v>1</v>
      </c>
      <c r="M33" s="3">
        <f>IFERROR(__xludf.DUMMYFUNCTION("""COMPUTED_VALUE"""),1.0)</f>
        <v>1</v>
      </c>
      <c r="N33" s="3">
        <f>IFERROR(__xludf.DUMMYFUNCTION("""COMPUTED_VALUE"""),1.0)</f>
        <v>1</v>
      </c>
      <c r="O33" s="3">
        <f>IFERROR(__xludf.DUMMYFUNCTION("""COMPUTED_VALUE"""),1.0)</f>
        <v>1</v>
      </c>
      <c r="P33" s="3">
        <f>IFERROR(__xludf.DUMMYFUNCTION("""COMPUTED_VALUE"""),1.0)</f>
        <v>1</v>
      </c>
      <c r="Q33" s="3">
        <f>IFERROR(__xludf.DUMMYFUNCTION("""COMPUTED_VALUE"""),1.0)</f>
        <v>1</v>
      </c>
      <c r="S33" s="3">
        <v>1.0</v>
      </c>
      <c r="T33" s="3">
        <v>1.0</v>
      </c>
      <c r="U33" s="3">
        <v>1.0</v>
      </c>
      <c r="V33" s="3">
        <v>1.0</v>
      </c>
      <c r="W33" s="3">
        <v>1.0</v>
      </c>
      <c r="X33" s="3">
        <v>1.0</v>
      </c>
      <c r="Y33" s="3">
        <v>1.0</v>
      </c>
      <c r="Z33" s="3">
        <v>1.0</v>
      </c>
      <c r="AA33" s="3">
        <v>1.0</v>
      </c>
      <c r="AB33" s="3">
        <v>1.0</v>
      </c>
      <c r="AC33" s="3">
        <v>1.0</v>
      </c>
      <c r="AD33" s="3">
        <v>1.0</v>
      </c>
      <c r="AE33" s="3">
        <v>1.0</v>
      </c>
      <c r="AF33" s="3">
        <v>1.0</v>
      </c>
      <c r="AG33" s="3">
        <v>1.0</v>
      </c>
      <c r="AH33" s="3">
        <v>1.0</v>
      </c>
    </row>
    <row r="34">
      <c r="A34" s="2" t="s">
        <v>33</v>
      </c>
    </row>
    <row r="35">
      <c r="A35" s="2">
        <v>6.2</v>
      </c>
    </row>
    <row r="36">
      <c r="A36" s="2" t="s">
        <v>3</v>
      </c>
      <c r="B36" s="3">
        <f>IFERROR(__xludf.DUMMYFUNCTION("split(A36,""{,}"")"),1.0)</f>
        <v>1</v>
      </c>
      <c r="C36" s="3">
        <f>IFERROR(__xludf.DUMMYFUNCTION("""COMPUTED_VALUE"""),1.0)</f>
        <v>1</v>
      </c>
      <c r="D36" s="3">
        <f>IFERROR(__xludf.DUMMYFUNCTION("""COMPUTED_VALUE"""),1.0)</f>
        <v>1</v>
      </c>
      <c r="E36" s="3">
        <f>IFERROR(__xludf.DUMMYFUNCTION("""COMPUTED_VALUE"""),1.0)</f>
        <v>1</v>
      </c>
      <c r="F36" s="3">
        <f>IFERROR(__xludf.DUMMYFUNCTION("""COMPUTED_VALUE"""),1.0)</f>
        <v>1</v>
      </c>
      <c r="G36" s="3">
        <f>IFERROR(__xludf.DUMMYFUNCTION("""COMPUTED_VALUE"""),1.0)</f>
        <v>1</v>
      </c>
      <c r="H36" s="3">
        <f>IFERROR(__xludf.DUMMYFUNCTION("""COMPUTED_VALUE"""),1.0)</f>
        <v>1</v>
      </c>
      <c r="I36" s="3">
        <f>IFERROR(__xludf.DUMMYFUNCTION("""COMPUTED_VALUE"""),1.0)</f>
        <v>1</v>
      </c>
      <c r="J36" s="3">
        <f>IFERROR(__xludf.DUMMYFUNCTION("""COMPUTED_VALUE"""),1.0)</f>
        <v>1</v>
      </c>
      <c r="K36" s="3">
        <f>IFERROR(__xludf.DUMMYFUNCTION("""COMPUTED_VALUE"""),1.0)</f>
        <v>1</v>
      </c>
      <c r="L36" s="3">
        <f>IFERROR(__xludf.DUMMYFUNCTION("""COMPUTED_VALUE"""),1.0)</f>
        <v>1</v>
      </c>
      <c r="M36" s="3">
        <f>IFERROR(__xludf.DUMMYFUNCTION("""COMPUTED_VALUE"""),1.0)</f>
        <v>1</v>
      </c>
      <c r="N36" s="3">
        <f>IFERROR(__xludf.DUMMYFUNCTION("""COMPUTED_VALUE"""),1.0)</f>
        <v>1</v>
      </c>
      <c r="O36" s="3">
        <f>IFERROR(__xludf.DUMMYFUNCTION("""COMPUTED_VALUE"""),1.0)</f>
        <v>1</v>
      </c>
      <c r="P36" s="3">
        <f>IFERROR(__xludf.DUMMYFUNCTION("""COMPUTED_VALUE"""),1.0)</f>
        <v>1</v>
      </c>
      <c r="Q36" s="3">
        <f>IFERROR(__xludf.DUMMYFUNCTION("""COMPUTED_VALUE"""),1.0)</f>
        <v>1</v>
      </c>
      <c r="S36" s="3">
        <v>1.0</v>
      </c>
      <c r="T36" s="3">
        <v>1.0</v>
      </c>
      <c r="U36" s="3">
        <v>1.0</v>
      </c>
      <c r="V36" s="3">
        <v>1.0</v>
      </c>
      <c r="W36" s="3">
        <v>1.0</v>
      </c>
      <c r="X36" s="3">
        <v>1.0</v>
      </c>
      <c r="Y36" s="3">
        <v>1.0</v>
      </c>
      <c r="Z36" s="3">
        <v>1.0</v>
      </c>
      <c r="AA36" s="3">
        <v>1.0</v>
      </c>
      <c r="AB36" s="3">
        <v>1.0</v>
      </c>
      <c r="AC36" s="3">
        <v>1.0</v>
      </c>
      <c r="AD36" s="3">
        <v>1.0</v>
      </c>
      <c r="AE36" s="3">
        <v>1.0</v>
      </c>
      <c r="AF36" s="3">
        <v>1.0</v>
      </c>
      <c r="AG36" s="3">
        <v>1.0</v>
      </c>
      <c r="AH36" s="3">
        <v>1.0</v>
      </c>
    </row>
    <row r="37">
      <c r="A37" s="2" t="s">
        <v>63</v>
      </c>
      <c r="B37" s="3">
        <f>IFERROR(__xludf.DUMMYFUNCTION("split(A37,""{,}"")"),1.0)</f>
        <v>1</v>
      </c>
      <c r="C37" s="3">
        <f>IFERROR(__xludf.DUMMYFUNCTION("""COMPUTED_VALUE"""),0.0)</f>
        <v>0</v>
      </c>
      <c r="D37" s="3">
        <f>IFERROR(__xludf.DUMMYFUNCTION("""COMPUTED_VALUE"""),0.0)</f>
        <v>0</v>
      </c>
      <c r="E37" s="3">
        <f>IFERROR(__xludf.DUMMYFUNCTION("""COMPUTED_VALUE"""),0.0)</f>
        <v>0</v>
      </c>
      <c r="F37" s="3">
        <f>IFERROR(__xludf.DUMMYFUNCTION("""COMPUTED_VALUE"""),1.0)</f>
        <v>1</v>
      </c>
      <c r="G37" s="3">
        <f>IFERROR(__xludf.DUMMYFUNCTION("""COMPUTED_VALUE"""),0.0)</f>
        <v>0</v>
      </c>
      <c r="H37" s="3">
        <f>IFERROR(__xludf.DUMMYFUNCTION("""COMPUTED_VALUE"""),0.0)</f>
        <v>0</v>
      </c>
      <c r="I37" s="3">
        <f>IFERROR(__xludf.DUMMYFUNCTION("""COMPUTED_VALUE"""),0.0)</f>
        <v>0</v>
      </c>
      <c r="J37" s="3">
        <f>IFERROR(__xludf.DUMMYFUNCTION("""COMPUTED_VALUE"""),1.0)</f>
        <v>1</v>
      </c>
      <c r="K37" s="3">
        <f>IFERROR(__xludf.DUMMYFUNCTION("""COMPUTED_VALUE"""),0.0)</f>
        <v>0</v>
      </c>
      <c r="L37" s="3">
        <f>IFERROR(__xludf.DUMMYFUNCTION("""COMPUTED_VALUE"""),0.0)</f>
        <v>0</v>
      </c>
      <c r="M37" s="3">
        <f>IFERROR(__xludf.DUMMYFUNCTION("""COMPUTED_VALUE"""),0.0)</f>
        <v>0</v>
      </c>
      <c r="N37" s="3">
        <f>IFERROR(__xludf.DUMMYFUNCTION("""COMPUTED_VALUE"""),1.0)</f>
        <v>1</v>
      </c>
      <c r="O37" s="3">
        <f>IFERROR(__xludf.DUMMYFUNCTION("""COMPUTED_VALUE"""),0.0)</f>
        <v>0</v>
      </c>
      <c r="P37" s="3">
        <f>IFERROR(__xludf.DUMMYFUNCTION("""COMPUTED_VALUE"""),0.0)</f>
        <v>0</v>
      </c>
      <c r="Q37" s="3">
        <f>IFERROR(__xludf.DUMMYFUNCTION("""COMPUTED_VALUE"""),1.0)</f>
        <v>1</v>
      </c>
      <c r="S37" s="3">
        <v>1.0</v>
      </c>
      <c r="T37" s="2">
        <v>4.0</v>
      </c>
      <c r="U37" s="3">
        <v>0.0</v>
      </c>
      <c r="V37" s="3">
        <v>0.0</v>
      </c>
      <c r="W37" s="3">
        <v>1.0</v>
      </c>
      <c r="X37" s="3">
        <v>0.0</v>
      </c>
      <c r="Y37" s="3">
        <v>0.0</v>
      </c>
      <c r="Z37" s="3">
        <v>0.0</v>
      </c>
      <c r="AA37" s="3">
        <v>1.0</v>
      </c>
      <c r="AB37" s="3">
        <v>0.0</v>
      </c>
      <c r="AC37" s="3">
        <v>0.0</v>
      </c>
      <c r="AD37" s="3">
        <v>0.0</v>
      </c>
      <c r="AE37" s="3">
        <v>1.0</v>
      </c>
      <c r="AF37" s="3">
        <v>0.0</v>
      </c>
      <c r="AG37" s="2">
        <v>5.0</v>
      </c>
      <c r="AH37" s="3">
        <v>1.0</v>
      </c>
    </row>
    <row r="38">
      <c r="A38" s="2" t="s">
        <v>64</v>
      </c>
      <c r="B38" s="3">
        <f>IFERROR(__xludf.DUMMYFUNCTION("split(A38,""{,}"")"),1.0)</f>
        <v>1</v>
      </c>
      <c r="C38" s="3">
        <f>IFERROR(__xludf.DUMMYFUNCTION("""COMPUTED_VALUE"""),5.0)</f>
        <v>5</v>
      </c>
      <c r="D38" s="3">
        <f>IFERROR(__xludf.DUMMYFUNCTION("""COMPUTED_VALUE"""),1.0)</f>
        <v>1</v>
      </c>
      <c r="E38" s="3">
        <f>IFERROR(__xludf.DUMMYFUNCTION("""COMPUTED_VALUE"""),0.0)</f>
        <v>0</v>
      </c>
      <c r="F38" s="3">
        <f>IFERROR(__xludf.DUMMYFUNCTION("""COMPUTED_VALUE"""),1.0)</f>
        <v>1</v>
      </c>
      <c r="G38" s="3">
        <f>IFERROR(__xludf.DUMMYFUNCTION("""COMPUTED_VALUE"""),0.0)</f>
        <v>0</v>
      </c>
      <c r="H38" s="3">
        <f>IFERROR(__xludf.DUMMYFUNCTION("""COMPUTED_VALUE"""),1.0)</f>
        <v>1</v>
      </c>
      <c r="I38" s="3">
        <f>IFERROR(__xludf.DUMMYFUNCTION("""COMPUTED_VALUE"""),0.0)</f>
        <v>0</v>
      </c>
      <c r="J38" s="3">
        <f>IFERROR(__xludf.DUMMYFUNCTION("""COMPUTED_VALUE"""),1.0)</f>
        <v>1</v>
      </c>
      <c r="K38" s="3">
        <f>IFERROR(__xludf.DUMMYFUNCTION("""COMPUTED_VALUE"""),0.0)</f>
        <v>0</v>
      </c>
      <c r="L38" s="3">
        <f>IFERROR(__xludf.DUMMYFUNCTION("""COMPUTED_VALUE"""),1.0)</f>
        <v>1</v>
      </c>
      <c r="M38" s="3">
        <f>IFERROR(__xludf.DUMMYFUNCTION("""COMPUTED_VALUE"""),0.0)</f>
        <v>0</v>
      </c>
      <c r="N38" s="3">
        <f>IFERROR(__xludf.DUMMYFUNCTION("""COMPUTED_VALUE"""),1.0)</f>
        <v>1</v>
      </c>
      <c r="O38" s="3">
        <f>IFERROR(__xludf.DUMMYFUNCTION("""COMPUTED_VALUE"""),0.0)</f>
        <v>0</v>
      </c>
      <c r="P38" s="3">
        <f>IFERROR(__xludf.DUMMYFUNCTION("""COMPUTED_VALUE"""),5.0)</f>
        <v>5</v>
      </c>
      <c r="Q38" s="3">
        <f>IFERROR(__xludf.DUMMYFUNCTION("""COMPUTED_VALUE"""),1.0)</f>
        <v>1</v>
      </c>
      <c r="S38" s="3">
        <v>1.0</v>
      </c>
      <c r="T38" s="3">
        <v>5.0</v>
      </c>
      <c r="U38" s="3">
        <v>1.0</v>
      </c>
      <c r="V38" s="3">
        <v>0.0</v>
      </c>
      <c r="W38" s="3">
        <v>1.0</v>
      </c>
      <c r="X38" s="3">
        <v>0.0</v>
      </c>
      <c r="Y38" s="3">
        <v>1.0</v>
      </c>
      <c r="Z38" s="2">
        <v>4.0</v>
      </c>
      <c r="AA38" s="3">
        <v>1.0</v>
      </c>
      <c r="AB38" s="3">
        <v>0.0</v>
      </c>
      <c r="AC38" s="3">
        <v>1.0</v>
      </c>
      <c r="AD38" s="3">
        <v>0.0</v>
      </c>
      <c r="AE38" s="3">
        <v>1.0</v>
      </c>
      <c r="AF38" s="3">
        <v>0.0</v>
      </c>
      <c r="AG38" s="2">
        <v>4.0</v>
      </c>
      <c r="AH38" s="3">
        <v>1.0</v>
      </c>
    </row>
    <row r="39">
      <c r="A39" s="2" t="s">
        <v>65</v>
      </c>
      <c r="B39" s="3">
        <f>IFERROR(__xludf.DUMMYFUNCTION("split(A39,""{,}"")"),1.0)</f>
        <v>1</v>
      </c>
      <c r="C39" s="3">
        <f>IFERROR(__xludf.DUMMYFUNCTION("""COMPUTED_VALUE"""),0.0)</f>
        <v>0</v>
      </c>
      <c r="D39" s="3">
        <f>IFERROR(__xludf.DUMMYFUNCTION("""COMPUTED_VALUE"""),1.0)</f>
        <v>1</v>
      </c>
      <c r="E39" s="3">
        <f>IFERROR(__xludf.DUMMYFUNCTION("""COMPUTED_VALUE"""),0.0)</f>
        <v>0</v>
      </c>
      <c r="F39" s="3">
        <f>IFERROR(__xludf.DUMMYFUNCTION("""COMPUTED_VALUE"""),0.0)</f>
        <v>0</v>
      </c>
      <c r="G39" s="3">
        <f>IFERROR(__xludf.DUMMYFUNCTION("""COMPUTED_VALUE"""),0.0)</f>
        <v>0</v>
      </c>
      <c r="H39" s="3">
        <f>IFERROR(__xludf.DUMMYFUNCTION("""COMPUTED_VALUE"""),1.0)</f>
        <v>1</v>
      </c>
      <c r="I39" s="3">
        <f>IFERROR(__xludf.DUMMYFUNCTION("""COMPUTED_VALUE"""),0.0)</f>
        <v>0</v>
      </c>
      <c r="J39" s="3">
        <f>IFERROR(__xludf.DUMMYFUNCTION("""COMPUTED_VALUE"""),0.0)</f>
        <v>0</v>
      </c>
      <c r="K39" s="3">
        <f>IFERROR(__xludf.DUMMYFUNCTION("""COMPUTED_VALUE"""),0.0)</f>
        <v>0</v>
      </c>
      <c r="L39" s="3">
        <f>IFERROR(__xludf.DUMMYFUNCTION("""COMPUTED_VALUE"""),1.0)</f>
        <v>1</v>
      </c>
      <c r="M39" s="3">
        <f>IFERROR(__xludf.DUMMYFUNCTION("""COMPUTED_VALUE"""),0.0)</f>
        <v>0</v>
      </c>
      <c r="N39" s="3">
        <f>IFERROR(__xludf.DUMMYFUNCTION("""COMPUTED_VALUE"""),0.0)</f>
        <v>0</v>
      </c>
      <c r="O39" s="3">
        <f>IFERROR(__xludf.DUMMYFUNCTION("""COMPUTED_VALUE"""),0.0)</f>
        <v>0</v>
      </c>
      <c r="P39" s="3">
        <f>IFERROR(__xludf.DUMMYFUNCTION("""COMPUTED_VALUE"""),1.0)</f>
        <v>1</v>
      </c>
      <c r="Q39" s="3">
        <f>IFERROR(__xludf.DUMMYFUNCTION("""COMPUTED_VALUE"""),1.0)</f>
        <v>1</v>
      </c>
      <c r="S39" s="3">
        <v>1.0</v>
      </c>
      <c r="T39" s="3">
        <v>0.0</v>
      </c>
      <c r="U39" s="3">
        <v>1.0</v>
      </c>
      <c r="V39" s="3">
        <v>0.0</v>
      </c>
      <c r="W39" s="3">
        <v>0.0</v>
      </c>
      <c r="X39" s="3">
        <v>0.0</v>
      </c>
      <c r="Y39" s="3">
        <v>1.0</v>
      </c>
      <c r="Z39" s="3">
        <v>0.0</v>
      </c>
      <c r="AA39" s="3">
        <v>0.0</v>
      </c>
      <c r="AB39" s="3">
        <v>0.0</v>
      </c>
      <c r="AC39" s="3">
        <v>1.0</v>
      </c>
      <c r="AD39" s="3">
        <v>0.0</v>
      </c>
      <c r="AE39" s="3">
        <v>0.0</v>
      </c>
      <c r="AF39" s="3">
        <v>0.0</v>
      </c>
      <c r="AG39" s="3">
        <v>1.0</v>
      </c>
      <c r="AH39" s="3">
        <v>1.0</v>
      </c>
    </row>
    <row r="40">
      <c r="A40" s="2" t="s">
        <v>66</v>
      </c>
      <c r="B40" s="3">
        <f>IFERROR(__xludf.DUMMYFUNCTION("split(A40,""{,}"")"),1.0)</f>
        <v>1</v>
      </c>
      <c r="C40" s="3">
        <f>IFERROR(__xludf.DUMMYFUNCTION("""COMPUTED_VALUE"""),0.0)</f>
        <v>0</v>
      </c>
      <c r="D40" s="3">
        <f>IFERROR(__xludf.DUMMYFUNCTION("""COMPUTED_VALUE"""),1.0)</f>
        <v>1</v>
      </c>
      <c r="E40" s="3">
        <f>IFERROR(__xludf.DUMMYFUNCTION("""COMPUTED_VALUE"""),1.0)</f>
        <v>1</v>
      </c>
      <c r="F40" s="3">
        <f>IFERROR(__xludf.DUMMYFUNCTION("""COMPUTED_VALUE"""),1.0)</f>
        <v>1</v>
      </c>
      <c r="G40" s="3">
        <f>IFERROR(__xludf.DUMMYFUNCTION("""COMPUTED_VALUE"""),0.0)</f>
        <v>0</v>
      </c>
      <c r="H40" s="3">
        <f>IFERROR(__xludf.DUMMYFUNCTION("""COMPUTED_VALUE"""),1.0)</f>
        <v>1</v>
      </c>
      <c r="I40" s="3">
        <f>IFERROR(__xludf.DUMMYFUNCTION("""COMPUTED_VALUE"""),1.0)</f>
        <v>1</v>
      </c>
      <c r="J40" s="3">
        <f>IFERROR(__xludf.DUMMYFUNCTION("""COMPUTED_VALUE"""),1.0)</f>
        <v>1</v>
      </c>
      <c r="K40" s="3">
        <f>IFERROR(__xludf.DUMMYFUNCTION("""COMPUTED_VALUE"""),0.0)</f>
        <v>0</v>
      </c>
      <c r="L40" s="3">
        <f>IFERROR(__xludf.DUMMYFUNCTION("""COMPUTED_VALUE"""),1.0)</f>
        <v>1</v>
      </c>
      <c r="M40" s="3">
        <f>IFERROR(__xludf.DUMMYFUNCTION("""COMPUTED_VALUE"""),1.0)</f>
        <v>1</v>
      </c>
      <c r="N40" s="3">
        <f>IFERROR(__xludf.DUMMYFUNCTION("""COMPUTED_VALUE"""),1.0)</f>
        <v>1</v>
      </c>
      <c r="O40" s="3">
        <f>IFERROR(__xludf.DUMMYFUNCTION("""COMPUTED_VALUE"""),1.0)</f>
        <v>1</v>
      </c>
      <c r="P40" s="3">
        <f>IFERROR(__xludf.DUMMYFUNCTION("""COMPUTED_VALUE"""),1.0)</f>
        <v>1</v>
      </c>
      <c r="Q40" s="3">
        <f>IFERROR(__xludf.DUMMYFUNCTION("""COMPUTED_VALUE"""),1.0)</f>
        <v>1</v>
      </c>
      <c r="S40" s="3">
        <v>1.0</v>
      </c>
      <c r="T40" s="3">
        <v>0.0</v>
      </c>
      <c r="U40" s="3">
        <v>1.0</v>
      </c>
      <c r="V40" s="3">
        <v>1.0</v>
      </c>
      <c r="W40" s="3">
        <v>1.0</v>
      </c>
      <c r="X40" s="3">
        <v>0.0</v>
      </c>
      <c r="Y40" s="3">
        <v>1.0</v>
      </c>
      <c r="Z40" s="3">
        <v>1.0</v>
      </c>
      <c r="AA40" s="3">
        <v>1.0</v>
      </c>
      <c r="AB40" s="3">
        <v>0.0</v>
      </c>
      <c r="AC40" s="3">
        <v>1.0</v>
      </c>
      <c r="AD40" s="3">
        <v>1.0</v>
      </c>
      <c r="AE40" s="3">
        <v>1.0</v>
      </c>
      <c r="AF40" s="3">
        <v>1.0</v>
      </c>
      <c r="AG40" s="3">
        <v>1.0</v>
      </c>
      <c r="AH40" s="3">
        <v>1.0</v>
      </c>
    </row>
    <row r="41">
      <c r="A41" s="2" t="s">
        <v>18</v>
      </c>
      <c r="B41" s="3">
        <f>IFERROR(__xludf.DUMMYFUNCTION("split(A41,""{,}"")"),1.0)</f>
        <v>1</v>
      </c>
      <c r="C41" s="3">
        <f>IFERROR(__xludf.DUMMYFUNCTION("""COMPUTED_VALUE"""),0.0)</f>
        <v>0</v>
      </c>
      <c r="D41" s="3">
        <f>IFERROR(__xludf.DUMMYFUNCTION("""COMPUTED_VALUE"""),0.0)</f>
        <v>0</v>
      </c>
      <c r="E41" s="3">
        <f>IFERROR(__xludf.DUMMYFUNCTION("""COMPUTED_VALUE"""),0.0)</f>
        <v>0</v>
      </c>
      <c r="F41" s="3">
        <f>IFERROR(__xludf.DUMMYFUNCTION("""COMPUTED_VALUE"""),0.0)</f>
        <v>0</v>
      </c>
      <c r="G41" s="3">
        <f>IFERROR(__xludf.DUMMYFUNCTION("""COMPUTED_VALUE"""),0.0)</f>
        <v>0</v>
      </c>
      <c r="H41" s="3">
        <f>IFERROR(__xludf.DUMMYFUNCTION("""COMPUTED_VALUE"""),0.0)</f>
        <v>0</v>
      </c>
      <c r="I41" s="3">
        <f>IFERROR(__xludf.DUMMYFUNCTION("""COMPUTED_VALUE"""),0.0)</f>
        <v>0</v>
      </c>
      <c r="J41" s="3">
        <f>IFERROR(__xludf.DUMMYFUNCTION("""COMPUTED_VALUE"""),0.0)</f>
        <v>0</v>
      </c>
      <c r="K41" s="3">
        <f>IFERROR(__xludf.DUMMYFUNCTION("""COMPUTED_VALUE"""),0.0)</f>
        <v>0</v>
      </c>
      <c r="L41" s="3">
        <f>IFERROR(__xludf.DUMMYFUNCTION("""COMPUTED_VALUE"""),0.0)</f>
        <v>0</v>
      </c>
      <c r="M41" s="3">
        <f>IFERROR(__xludf.DUMMYFUNCTION("""COMPUTED_VALUE"""),0.0)</f>
        <v>0</v>
      </c>
      <c r="N41" s="3">
        <f>IFERROR(__xludf.DUMMYFUNCTION("""COMPUTED_VALUE"""),0.0)</f>
        <v>0</v>
      </c>
      <c r="O41" s="3">
        <f>IFERROR(__xludf.DUMMYFUNCTION("""COMPUTED_VALUE"""),0.0)</f>
        <v>0</v>
      </c>
      <c r="P41" s="3">
        <f>IFERROR(__xludf.DUMMYFUNCTION("""COMPUTED_VALUE"""),0.0)</f>
        <v>0</v>
      </c>
      <c r="Q41" s="3">
        <f>IFERROR(__xludf.DUMMYFUNCTION("""COMPUTED_VALUE"""),1.0)</f>
        <v>1</v>
      </c>
      <c r="S41" s="3">
        <v>1.0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Y41" s="3">
        <v>0.0</v>
      </c>
      <c r="Z41" s="2">
        <v>1.0</v>
      </c>
      <c r="AA41" s="3">
        <v>0.0</v>
      </c>
      <c r="AB41" s="3">
        <v>0.0</v>
      </c>
      <c r="AC41" s="3">
        <v>0.0</v>
      </c>
      <c r="AD41" s="3">
        <v>0.0</v>
      </c>
      <c r="AE41" s="3">
        <v>0.0</v>
      </c>
      <c r="AF41" s="3">
        <v>0.0</v>
      </c>
      <c r="AG41" s="2">
        <v>4.0</v>
      </c>
      <c r="AH41" s="3">
        <v>1.0</v>
      </c>
    </row>
    <row r="42">
      <c r="A42" s="2" t="s">
        <v>62</v>
      </c>
      <c r="B42" s="3">
        <f>IFERROR(__xludf.DUMMYFUNCTION("split(A42,""{,}"")"),1.0)</f>
        <v>1</v>
      </c>
      <c r="C42" s="3">
        <f>IFERROR(__xludf.DUMMYFUNCTION("""COMPUTED_VALUE"""),1.0)</f>
        <v>1</v>
      </c>
      <c r="D42" s="3">
        <f>IFERROR(__xludf.DUMMYFUNCTION("""COMPUTED_VALUE"""),0.0)</f>
        <v>0</v>
      </c>
      <c r="E42" s="3">
        <f>IFERROR(__xludf.DUMMYFUNCTION("""COMPUTED_VALUE"""),1.0)</f>
        <v>1</v>
      </c>
      <c r="F42" s="3">
        <f>IFERROR(__xludf.DUMMYFUNCTION("""COMPUTED_VALUE"""),5.0)</f>
        <v>5</v>
      </c>
      <c r="G42" s="3">
        <f>IFERROR(__xludf.DUMMYFUNCTION("""COMPUTED_VALUE"""),1.0)</f>
        <v>1</v>
      </c>
      <c r="H42" s="3">
        <f>IFERROR(__xludf.DUMMYFUNCTION("""COMPUTED_VALUE"""),0.0)</f>
        <v>0</v>
      </c>
      <c r="I42" s="3">
        <f>IFERROR(__xludf.DUMMYFUNCTION("""COMPUTED_VALUE"""),1.0)</f>
        <v>1</v>
      </c>
      <c r="J42" s="3">
        <f>IFERROR(__xludf.DUMMYFUNCTION("""COMPUTED_VALUE"""),1.0)</f>
        <v>1</v>
      </c>
      <c r="K42" s="3">
        <f>IFERROR(__xludf.DUMMYFUNCTION("""COMPUTED_VALUE"""),0.0)</f>
        <v>0</v>
      </c>
      <c r="L42" s="3">
        <f>IFERROR(__xludf.DUMMYFUNCTION("""COMPUTED_VALUE"""),5.0)</f>
        <v>5</v>
      </c>
      <c r="M42" s="3">
        <f>IFERROR(__xludf.DUMMYFUNCTION("""COMPUTED_VALUE"""),1.0)</f>
        <v>1</v>
      </c>
      <c r="N42" s="3">
        <f>IFERROR(__xludf.DUMMYFUNCTION("""COMPUTED_VALUE"""),0.0)</f>
        <v>0</v>
      </c>
      <c r="O42" s="3">
        <f>IFERROR(__xludf.DUMMYFUNCTION("""COMPUTED_VALUE"""),1.0)</f>
        <v>1</v>
      </c>
      <c r="P42" s="3">
        <f>IFERROR(__xludf.DUMMYFUNCTION("""COMPUTED_VALUE"""),1.0)</f>
        <v>1</v>
      </c>
      <c r="Q42" s="3">
        <f>IFERROR(__xludf.DUMMYFUNCTION("""COMPUTED_VALUE"""),1.0)</f>
        <v>1</v>
      </c>
      <c r="S42" s="3">
        <v>1.0</v>
      </c>
      <c r="T42" s="3">
        <v>1.0</v>
      </c>
      <c r="U42" s="3">
        <v>0.0</v>
      </c>
      <c r="V42" s="3">
        <v>1.0</v>
      </c>
      <c r="W42" s="3">
        <v>5.0</v>
      </c>
      <c r="X42" s="3">
        <v>1.0</v>
      </c>
      <c r="Y42" s="3">
        <v>0.0</v>
      </c>
      <c r="Z42" s="3">
        <v>1.0</v>
      </c>
      <c r="AA42" s="3">
        <v>1.0</v>
      </c>
      <c r="AB42" s="3">
        <v>0.0</v>
      </c>
      <c r="AC42" s="3">
        <v>5.0</v>
      </c>
      <c r="AD42" s="3">
        <v>1.0</v>
      </c>
      <c r="AE42" s="3">
        <v>0.0</v>
      </c>
      <c r="AF42" s="3">
        <v>1.0</v>
      </c>
      <c r="AG42" s="3">
        <v>1.0</v>
      </c>
      <c r="AH42" s="3">
        <v>1.0</v>
      </c>
    </row>
    <row r="43">
      <c r="A43" s="2" t="s">
        <v>17</v>
      </c>
      <c r="B43" s="3">
        <f>IFERROR(__xludf.DUMMYFUNCTION("split(A43,""{,}"")"),1.0)</f>
        <v>1</v>
      </c>
      <c r="C43" s="3">
        <f>IFERROR(__xludf.DUMMYFUNCTION("""COMPUTED_VALUE"""),6.0)</f>
        <v>6</v>
      </c>
      <c r="D43" s="3">
        <f>IFERROR(__xludf.DUMMYFUNCTION("""COMPUTED_VALUE"""),0.0)</f>
        <v>0</v>
      </c>
      <c r="E43" s="3">
        <f>IFERROR(__xludf.DUMMYFUNCTION("""COMPUTED_VALUE"""),0.0)</f>
        <v>0</v>
      </c>
      <c r="F43" s="3">
        <f>IFERROR(__xludf.DUMMYFUNCTION("""COMPUTED_VALUE"""),0.0)</f>
        <v>0</v>
      </c>
      <c r="G43" s="3">
        <f>IFERROR(__xludf.DUMMYFUNCTION("""COMPUTED_VALUE"""),0.0)</f>
        <v>0</v>
      </c>
      <c r="H43" s="3">
        <f>IFERROR(__xludf.DUMMYFUNCTION("""COMPUTED_VALUE"""),0.0)</f>
        <v>0</v>
      </c>
      <c r="I43" s="3">
        <f>IFERROR(__xludf.DUMMYFUNCTION("""COMPUTED_VALUE"""),0.0)</f>
        <v>0</v>
      </c>
      <c r="J43" s="3">
        <f>IFERROR(__xludf.DUMMYFUNCTION("""COMPUTED_VALUE"""),0.0)</f>
        <v>0</v>
      </c>
      <c r="K43" s="3">
        <f>IFERROR(__xludf.DUMMYFUNCTION("""COMPUTED_VALUE"""),0.0)</f>
        <v>0</v>
      </c>
      <c r="L43" s="3">
        <f>IFERROR(__xludf.DUMMYFUNCTION("""COMPUTED_VALUE"""),0.0)</f>
        <v>0</v>
      </c>
      <c r="M43" s="3">
        <f>IFERROR(__xludf.DUMMYFUNCTION("""COMPUTED_VALUE"""),0.0)</f>
        <v>0</v>
      </c>
      <c r="N43" s="3">
        <f>IFERROR(__xludf.DUMMYFUNCTION("""COMPUTED_VALUE"""),0.0)</f>
        <v>0</v>
      </c>
      <c r="O43" s="3">
        <f>IFERROR(__xludf.DUMMYFUNCTION("""COMPUTED_VALUE"""),0.0)</f>
        <v>0</v>
      </c>
      <c r="P43" s="3">
        <f>IFERROR(__xludf.DUMMYFUNCTION("""COMPUTED_VALUE"""),3.0)</f>
        <v>3</v>
      </c>
      <c r="Q43" s="3">
        <f>IFERROR(__xludf.DUMMYFUNCTION("""COMPUTED_VALUE"""),1.0)</f>
        <v>1</v>
      </c>
      <c r="S43" s="3">
        <v>1.0</v>
      </c>
      <c r="T43" s="3">
        <v>6.0</v>
      </c>
      <c r="U43" s="3">
        <v>0.0</v>
      </c>
      <c r="V43" s="3">
        <v>0.0</v>
      </c>
      <c r="W43" s="3">
        <v>0.0</v>
      </c>
      <c r="X43" s="3">
        <v>0.0</v>
      </c>
      <c r="Y43" s="3">
        <v>0.0</v>
      </c>
      <c r="Z43" s="2">
        <v>5.0</v>
      </c>
      <c r="AA43" s="2">
        <v>1.0</v>
      </c>
      <c r="AB43" s="3">
        <v>0.0</v>
      </c>
      <c r="AC43" s="3">
        <v>0.0</v>
      </c>
      <c r="AD43" s="3">
        <v>0.0</v>
      </c>
      <c r="AE43" s="3">
        <v>0.0</v>
      </c>
      <c r="AF43" s="3">
        <v>0.0</v>
      </c>
      <c r="AG43" s="3">
        <v>3.0</v>
      </c>
      <c r="AH43" s="3">
        <v>1.0</v>
      </c>
    </row>
    <row r="44">
      <c r="A44" s="2" t="s">
        <v>3</v>
      </c>
      <c r="B44" s="3">
        <f>IFERROR(__xludf.DUMMYFUNCTION("split(A44,""{,}"")"),1.0)</f>
        <v>1</v>
      </c>
      <c r="C44" s="3">
        <f>IFERROR(__xludf.DUMMYFUNCTION("""COMPUTED_VALUE"""),1.0)</f>
        <v>1</v>
      </c>
      <c r="D44" s="3">
        <f>IFERROR(__xludf.DUMMYFUNCTION("""COMPUTED_VALUE"""),1.0)</f>
        <v>1</v>
      </c>
      <c r="E44" s="3">
        <f>IFERROR(__xludf.DUMMYFUNCTION("""COMPUTED_VALUE"""),1.0)</f>
        <v>1</v>
      </c>
      <c r="F44" s="3">
        <f>IFERROR(__xludf.DUMMYFUNCTION("""COMPUTED_VALUE"""),1.0)</f>
        <v>1</v>
      </c>
      <c r="G44" s="3">
        <f>IFERROR(__xludf.DUMMYFUNCTION("""COMPUTED_VALUE"""),1.0)</f>
        <v>1</v>
      </c>
      <c r="H44" s="3">
        <f>IFERROR(__xludf.DUMMYFUNCTION("""COMPUTED_VALUE"""),1.0)</f>
        <v>1</v>
      </c>
      <c r="I44" s="3">
        <f>IFERROR(__xludf.DUMMYFUNCTION("""COMPUTED_VALUE"""),1.0)</f>
        <v>1</v>
      </c>
      <c r="J44" s="3">
        <f>IFERROR(__xludf.DUMMYFUNCTION("""COMPUTED_VALUE"""),1.0)</f>
        <v>1</v>
      </c>
      <c r="K44" s="3">
        <f>IFERROR(__xludf.DUMMYFUNCTION("""COMPUTED_VALUE"""),1.0)</f>
        <v>1</v>
      </c>
      <c r="L44" s="3">
        <f>IFERROR(__xludf.DUMMYFUNCTION("""COMPUTED_VALUE"""),1.0)</f>
        <v>1</v>
      </c>
      <c r="M44" s="3">
        <f>IFERROR(__xludf.DUMMYFUNCTION("""COMPUTED_VALUE"""),1.0)</f>
        <v>1</v>
      </c>
      <c r="N44" s="3">
        <f>IFERROR(__xludf.DUMMYFUNCTION("""COMPUTED_VALUE"""),1.0)</f>
        <v>1</v>
      </c>
      <c r="O44" s="3">
        <f>IFERROR(__xludf.DUMMYFUNCTION("""COMPUTED_VALUE"""),1.0)</f>
        <v>1</v>
      </c>
      <c r="P44" s="3">
        <f>IFERROR(__xludf.DUMMYFUNCTION("""COMPUTED_VALUE"""),1.0)</f>
        <v>1</v>
      </c>
      <c r="Q44" s="3">
        <f>IFERROR(__xludf.DUMMYFUNCTION("""COMPUTED_VALUE"""),1.0)</f>
        <v>1</v>
      </c>
      <c r="S44" s="3">
        <v>1.0</v>
      </c>
      <c r="T44" s="3">
        <v>1.0</v>
      </c>
      <c r="U44" s="3">
        <v>1.0</v>
      </c>
      <c r="V44" s="3">
        <v>1.0</v>
      </c>
      <c r="W44" s="3">
        <v>1.0</v>
      </c>
      <c r="X44" s="3">
        <v>1.0</v>
      </c>
      <c r="Y44" s="3">
        <v>1.0</v>
      </c>
      <c r="Z44" s="3">
        <v>1.0</v>
      </c>
      <c r="AA44" s="3">
        <v>1.0</v>
      </c>
      <c r="AB44" s="3">
        <v>1.0</v>
      </c>
      <c r="AC44" s="3">
        <v>1.0</v>
      </c>
      <c r="AD44" s="3">
        <v>1.0</v>
      </c>
      <c r="AE44" s="3">
        <v>1.0</v>
      </c>
      <c r="AF44" s="3">
        <v>1.0</v>
      </c>
      <c r="AG44" s="3">
        <v>1.0</v>
      </c>
      <c r="AH44" s="3">
        <v>1.0</v>
      </c>
    </row>
    <row r="45">
      <c r="A45" s="2">
        <v>7.1</v>
      </c>
    </row>
    <row r="46">
      <c r="A46" s="2" t="s">
        <v>3</v>
      </c>
      <c r="B46" s="3">
        <f>IFERROR(__xludf.DUMMYFUNCTION("split(A46,""{,}"")"),1.0)</f>
        <v>1</v>
      </c>
      <c r="C46" s="3">
        <f>IFERROR(__xludf.DUMMYFUNCTION("""COMPUTED_VALUE"""),1.0)</f>
        <v>1</v>
      </c>
      <c r="D46" s="3">
        <f>IFERROR(__xludf.DUMMYFUNCTION("""COMPUTED_VALUE"""),1.0)</f>
        <v>1</v>
      </c>
      <c r="E46" s="3">
        <f>IFERROR(__xludf.DUMMYFUNCTION("""COMPUTED_VALUE"""),1.0)</f>
        <v>1</v>
      </c>
      <c r="F46" s="3">
        <f>IFERROR(__xludf.DUMMYFUNCTION("""COMPUTED_VALUE"""),1.0)</f>
        <v>1</v>
      </c>
      <c r="G46" s="3">
        <f>IFERROR(__xludf.DUMMYFUNCTION("""COMPUTED_VALUE"""),1.0)</f>
        <v>1</v>
      </c>
      <c r="H46" s="3">
        <f>IFERROR(__xludf.DUMMYFUNCTION("""COMPUTED_VALUE"""),1.0)</f>
        <v>1</v>
      </c>
      <c r="I46" s="3">
        <f>IFERROR(__xludf.DUMMYFUNCTION("""COMPUTED_VALUE"""),1.0)</f>
        <v>1</v>
      </c>
      <c r="J46" s="3">
        <f>IFERROR(__xludf.DUMMYFUNCTION("""COMPUTED_VALUE"""),1.0)</f>
        <v>1</v>
      </c>
      <c r="K46" s="3">
        <f>IFERROR(__xludf.DUMMYFUNCTION("""COMPUTED_VALUE"""),1.0)</f>
        <v>1</v>
      </c>
      <c r="L46" s="3">
        <f>IFERROR(__xludf.DUMMYFUNCTION("""COMPUTED_VALUE"""),1.0)</f>
        <v>1</v>
      </c>
      <c r="M46" s="3">
        <f>IFERROR(__xludf.DUMMYFUNCTION("""COMPUTED_VALUE"""),1.0)</f>
        <v>1</v>
      </c>
      <c r="N46" s="3">
        <f>IFERROR(__xludf.DUMMYFUNCTION("""COMPUTED_VALUE"""),1.0)</f>
        <v>1</v>
      </c>
      <c r="O46" s="3">
        <f>IFERROR(__xludf.DUMMYFUNCTION("""COMPUTED_VALUE"""),1.0)</f>
        <v>1</v>
      </c>
      <c r="P46" s="3">
        <f>IFERROR(__xludf.DUMMYFUNCTION("""COMPUTED_VALUE"""),1.0)</f>
        <v>1</v>
      </c>
      <c r="Q46" s="3">
        <f>IFERROR(__xludf.DUMMYFUNCTION("""COMPUTED_VALUE"""),1.0)</f>
        <v>1</v>
      </c>
      <c r="S46" s="3">
        <v>1.0</v>
      </c>
      <c r="T46" s="3">
        <v>1.0</v>
      </c>
      <c r="U46" s="3">
        <v>1.0</v>
      </c>
      <c r="V46" s="3">
        <v>1.0</v>
      </c>
      <c r="W46" s="3">
        <v>1.0</v>
      </c>
      <c r="X46" s="3">
        <v>1.0</v>
      </c>
      <c r="Y46" s="3">
        <v>1.0</v>
      </c>
      <c r="Z46" s="3">
        <v>1.0</v>
      </c>
      <c r="AA46" s="3">
        <v>1.0</v>
      </c>
      <c r="AB46" s="3">
        <v>1.0</v>
      </c>
      <c r="AC46" s="3">
        <v>1.0</v>
      </c>
      <c r="AD46" s="3">
        <v>1.0</v>
      </c>
      <c r="AE46" s="3">
        <v>1.0</v>
      </c>
      <c r="AF46" s="3">
        <v>1.0</v>
      </c>
      <c r="AG46" s="3">
        <v>1.0</v>
      </c>
      <c r="AH46" s="3">
        <v>1.0</v>
      </c>
    </row>
    <row r="47">
      <c r="A47" s="2" t="s">
        <v>27</v>
      </c>
      <c r="B47" s="3">
        <f>IFERROR(__xludf.DUMMYFUNCTION("split(A47,""{,}"")"),1.0)</f>
        <v>1</v>
      </c>
      <c r="C47" s="3">
        <f>IFERROR(__xludf.DUMMYFUNCTION("""COMPUTED_VALUE"""),0.0)</f>
        <v>0</v>
      </c>
      <c r="D47" s="3">
        <f>IFERROR(__xludf.DUMMYFUNCTION("""COMPUTED_VALUE"""),0.0)</f>
        <v>0</v>
      </c>
      <c r="E47" s="3">
        <f>IFERROR(__xludf.DUMMYFUNCTION("""COMPUTED_VALUE"""),0.0)</f>
        <v>0</v>
      </c>
      <c r="F47" s="3">
        <f>IFERROR(__xludf.DUMMYFUNCTION("""COMPUTED_VALUE"""),1.0)</f>
        <v>1</v>
      </c>
      <c r="G47" s="3">
        <f>IFERROR(__xludf.DUMMYFUNCTION("""COMPUTED_VALUE"""),0.0)</f>
        <v>0</v>
      </c>
      <c r="H47" s="3">
        <f>IFERROR(__xludf.DUMMYFUNCTION("""COMPUTED_VALUE"""),0.0)</f>
        <v>0</v>
      </c>
      <c r="I47" s="3">
        <f>IFERROR(__xludf.DUMMYFUNCTION("""COMPUTED_VALUE"""),0.0)</f>
        <v>0</v>
      </c>
      <c r="J47" s="3">
        <f>IFERROR(__xludf.DUMMYFUNCTION("""COMPUTED_VALUE"""),0.0)</f>
        <v>0</v>
      </c>
      <c r="K47" s="3">
        <f>IFERROR(__xludf.DUMMYFUNCTION("""COMPUTED_VALUE"""),4.0)</f>
        <v>4</v>
      </c>
      <c r="L47" s="3">
        <f>IFERROR(__xludf.DUMMYFUNCTION("""COMPUTED_VALUE"""),1.0)</f>
        <v>1</v>
      </c>
      <c r="M47" s="3">
        <f>IFERROR(__xludf.DUMMYFUNCTION("""COMPUTED_VALUE"""),0.0)</f>
        <v>0</v>
      </c>
      <c r="N47" s="3">
        <f>IFERROR(__xludf.DUMMYFUNCTION("""COMPUTED_VALUE"""),0.0)</f>
        <v>0</v>
      </c>
      <c r="O47" s="3">
        <f>IFERROR(__xludf.DUMMYFUNCTION("""COMPUTED_VALUE"""),0.0)</f>
        <v>0</v>
      </c>
      <c r="P47" s="3">
        <f>IFERROR(__xludf.DUMMYFUNCTION("""COMPUTED_VALUE"""),0.0)</f>
        <v>0</v>
      </c>
      <c r="Q47" s="3">
        <f>IFERROR(__xludf.DUMMYFUNCTION("""COMPUTED_VALUE"""),1.0)</f>
        <v>1</v>
      </c>
      <c r="S47" s="3">
        <v>1.0</v>
      </c>
      <c r="T47" s="3">
        <v>0.0</v>
      </c>
      <c r="U47" s="3">
        <v>0.0</v>
      </c>
      <c r="V47" s="2">
        <v>4.0</v>
      </c>
      <c r="W47" s="3">
        <v>1.0</v>
      </c>
      <c r="X47" s="3">
        <v>0.0</v>
      </c>
      <c r="Y47" s="3">
        <v>0.0</v>
      </c>
      <c r="Z47" s="3">
        <v>0.0</v>
      </c>
      <c r="AA47" s="3">
        <v>0.0</v>
      </c>
      <c r="AB47" s="3">
        <v>4.0</v>
      </c>
      <c r="AC47" s="3">
        <v>1.0</v>
      </c>
      <c r="AD47" s="2">
        <v>5.0</v>
      </c>
      <c r="AE47" s="3">
        <v>0.0</v>
      </c>
      <c r="AF47" s="3">
        <v>0.0</v>
      </c>
      <c r="AG47" s="2">
        <v>5.0</v>
      </c>
      <c r="AH47" s="3">
        <v>1.0</v>
      </c>
    </row>
    <row r="48">
      <c r="A48" s="2" t="s">
        <v>67</v>
      </c>
      <c r="B48" s="3">
        <f>IFERROR(__xludf.DUMMYFUNCTION("split(A48,""{,}"")"),1.0)</f>
        <v>1</v>
      </c>
      <c r="C48" s="3">
        <f>IFERROR(__xludf.DUMMYFUNCTION("""COMPUTED_VALUE"""),0.0)</f>
        <v>0</v>
      </c>
      <c r="D48" s="3">
        <f>IFERROR(__xludf.DUMMYFUNCTION("""COMPUTED_VALUE"""),1.0)</f>
        <v>1</v>
      </c>
      <c r="E48" s="3">
        <f>IFERROR(__xludf.DUMMYFUNCTION("""COMPUTED_VALUE"""),1.0)</f>
        <v>1</v>
      </c>
      <c r="F48" s="3">
        <f>IFERROR(__xludf.DUMMYFUNCTION("""COMPUTED_VALUE"""),1.0)</f>
        <v>1</v>
      </c>
      <c r="G48" s="3">
        <f>IFERROR(__xludf.DUMMYFUNCTION("""COMPUTED_VALUE"""),0.0)</f>
        <v>0</v>
      </c>
      <c r="H48" s="3">
        <f>IFERROR(__xludf.DUMMYFUNCTION("""COMPUTED_VALUE"""),1.0)</f>
        <v>1</v>
      </c>
      <c r="I48" s="3">
        <f>IFERROR(__xludf.DUMMYFUNCTION("""COMPUTED_VALUE"""),5.0)</f>
        <v>5</v>
      </c>
      <c r="J48" s="3">
        <f>IFERROR(__xludf.DUMMYFUNCTION("""COMPUTED_VALUE"""),1.0)</f>
        <v>1</v>
      </c>
      <c r="K48" s="3">
        <f>IFERROR(__xludf.DUMMYFUNCTION("""COMPUTED_VALUE"""),0.0)</f>
        <v>0</v>
      </c>
      <c r="L48" s="3">
        <f>IFERROR(__xludf.DUMMYFUNCTION("""COMPUTED_VALUE"""),1.0)</f>
        <v>1</v>
      </c>
      <c r="M48" s="3">
        <f>IFERROR(__xludf.DUMMYFUNCTION("""COMPUTED_VALUE"""),1.0)</f>
        <v>1</v>
      </c>
      <c r="N48" s="3">
        <f>IFERROR(__xludf.DUMMYFUNCTION("""COMPUTED_VALUE"""),1.0)</f>
        <v>1</v>
      </c>
      <c r="O48" s="3">
        <f>IFERROR(__xludf.DUMMYFUNCTION("""COMPUTED_VALUE"""),0.0)</f>
        <v>0</v>
      </c>
      <c r="P48" s="3">
        <f>IFERROR(__xludf.DUMMYFUNCTION("""COMPUTED_VALUE"""),0.0)</f>
        <v>0</v>
      </c>
      <c r="Q48" s="3">
        <f>IFERROR(__xludf.DUMMYFUNCTION("""COMPUTED_VALUE"""),1.0)</f>
        <v>1</v>
      </c>
      <c r="S48" s="3">
        <v>1.0</v>
      </c>
      <c r="T48" s="3">
        <v>0.0</v>
      </c>
      <c r="U48" s="3">
        <v>1.0</v>
      </c>
      <c r="V48" s="3">
        <v>1.0</v>
      </c>
      <c r="W48" s="3">
        <v>1.0</v>
      </c>
      <c r="X48" s="3">
        <v>0.0</v>
      </c>
      <c r="Y48" s="3">
        <v>1.0</v>
      </c>
      <c r="Z48" s="3">
        <v>5.0</v>
      </c>
      <c r="AA48" s="3">
        <v>1.0</v>
      </c>
      <c r="AB48" s="3">
        <v>0.0</v>
      </c>
      <c r="AC48" s="3">
        <v>1.0</v>
      </c>
      <c r="AD48" s="3">
        <v>1.0</v>
      </c>
      <c r="AE48" s="3">
        <v>1.0</v>
      </c>
      <c r="AF48" s="3">
        <v>0.0</v>
      </c>
      <c r="AG48" s="3">
        <v>0.0</v>
      </c>
      <c r="AH48" s="3">
        <v>1.0</v>
      </c>
    </row>
    <row r="49">
      <c r="A49" s="2" t="s">
        <v>68</v>
      </c>
      <c r="B49" s="3">
        <f>IFERROR(__xludf.DUMMYFUNCTION("split(A49,""{,}"")"),1.0)</f>
        <v>1</v>
      </c>
      <c r="C49" s="3">
        <f>IFERROR(__xludf.DUMMYFUNCTION("""COMPUTED_VALUE"""),0.0)</f>
        <v>0</v>
      </c>
      <c r="D49" s="3">
        <f>IFERROR(__xludf.DUMMYFUNCTION("""COMPUTED_VALUE"""),0.0)</f>
        <v>0</v>
      </c>
      <c r="E49" s="3">
        <f>IFERROR(__xludf.DUMMYFUNCTION("""COMPUTED_VALUE"""),0.0)</f>
        <v>0</v>
      </c>
      <c r="F49" s="3">
        <f>IFERROR(__xludf.DUMMYFUNCTION("""COMPUTED_VALUE"""),0.0)</f>
        <v>0</v>
      </c>
      <c r="G49" s="3">
        <f>IFERROR(__xludf.DUMMYFUNCTION("""COMPUTED_VALUE"""),0.0)</f>
        <v>0</v>
      </c>
      <c r="H49" s="3">
        <f>IFERROR(__xludf.DUMMYFUNCTION("""COMPUTED_VALUE"""),1.0)</f>
        <v>1</v>
      </c>
      <c r="I49" s="3">
        <f>IFERROR(__xludf.DUMMYFUNCTION("""COMPUTED_VALUE"""),0.0)</f>
        <v>0</v>
      </c>
      <c r="J49" s="3">
        <f>IFERROR(__xludf.DUMMYFUNCTION("""COMPUTED_VALUE"""),0.0)</f>
        <v>0</v>
      </c>
      <c r="K49" s="3">
        <f>IFERROR(__xludf.DUMMYFUNCTION("""COMPUTED_VALUE"""),0.0)</f>
        <v>0</v>
      </c>
      <c r="L49" s="3">
        <f>IFERROR(__xludf.DUMMYFUNCTION("""COMPUTED_VALUE"""),0.0)</f>
        <v>0</v>
      </c>
      <c r="M49" s="3">
        <f>IFERROR(__xludf.DUMMYFUNCTION("""COMPUTED_VALUE"""),0.0)</f>
        <v>0</v>
      </c>
      <c r="N49" s="3">
        <f>IFERROR(__xludf.DUMMYFUNCTION("""COMPUTED_VALUE"""),2.0)</f>
        <v>2</v>
      </c>
      <c r="O49" s="3">
        <f>IFERROR(__xludf.DUMMYFUNCTION("""COMPUTED_VALUE"""),0.0)</f>
        <v>0</v>
      </c>
      <c r="P49" s="3">
        <f>IFERROR(__xludf.DUMMYFUNCTION("""COMPUTED_VALUE"""),0.0)</f>
        <v>0</v>
      </c>
      <c r="Q49" s="3">
        <f>IFERROR(__xludf.DUMMYFUNCTION("""COMPUTED_VALUE"""),1.0)</f>
        <v>1</v>
      </c>
      <c r="S49" s="3">
        <v>1.0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1.0</v>
      </c>
      <c r="Z49" s="3">
        <v>0.0</v>
      </c>
      <c r="AA49" s="3">
        <v>0.0</v>
      </c>
      <c r="AB49" s="3">
        <v>0.0</v>
      </c>
      <c r="AC49" s="3">
        <v>0.0</v>
      </c>
      <c r="AD49" s="3">
        <v>0.0</v>
      </c>
      <c r="AE49" s="3">
        <v>2.0</v>
      </c>
      <c r="AF49" s="3">
        <v>0.0</v>
      </c>
      <c r="AG49" s="3">
        <v>0.0</v>
      </c>
      <c r="AH49" s="3">
        <v>1.0</v>
      </c>
    </row>
    <row r="50">
      <c r="A50" s="2" t="s">
        <v>69</v>
      </c>
      <c r="B50" s="3">
        <f>IFERROR(__xludf.DUMMYFUNCTION("split(A50,""{,}"")"),1.0)</f>
        <v>1</v>
      </c>
      <c r="C50" s="3">
        <f>IFERROR(__xludf.DUMMYFUNCTION("""COMPUTED_VALUE"""),1.0)</f>
        <v>1</v>
      </c>
      <c r="D50" s="3">
        <f>IFERROR(__xludf.DUMMYFUNCTION("""COMPUTED_VALUE"""),0.0)</f>
        <v>0</v>
      </c>
      <c r="E50" s="3">
        <f>IFERROR(__xludf.DUMMYFUNCTION("""COMPUTED_VALUE"""),1.0)</f>
        <v>1</v>
      </c>
      <c r="F50" s="3">
        <f>IFERROR(__xludf.DUMMYFUNCTION("""COMPUTED_VALUE"""),1.0)</f>
        <v>1</v>
      </c>
      <c r="G50" s="3">
        <f>IFERROR(__xludf.DUMMYFUNCTION("""COMPUTED_VALUE"""),1.0)</f>
        <v>1</v>
      </c>
      <c r="H50" s="3">
        <f>IFERROR(__xludf.DUMMYFUNCTION("""COMPUTED_VALUE"""),1.0)</f>
        <v>1</v>
      </c>
      <c r="I50" s="3">
        <f>IFERROR(__xludf.DUMMYFUNCTION("""COMPUTED_VALUE"""),0.0)</f>
        <v>0</v>
      </c>
      <c r="J50" s="3">
        <f>IFERROR(__xludf.DUMMYFUNCTION("""COMPUTED_VALUE"""),1.0)</f>
        <v>1</v>
      </c>
      <c r="K50" s="3">
        <f>IFERROR(__xludf.DUMMYFUNCTION("""COMPUTED_VALUE"""),1.0)</f>
        <v>1</v>
      </c>
      <c r="L50" s="3">
        <f>IFERROR(__xludf.DUMMYFUNCTION("""COMPUTED_VALUE"""),1.0)</f>
        <v>1</v>
      </c>
      <c r="M50" s="3">
        <f>IFERROR(__xludf.DUMMYFUNCTION("""COMPUTED_VALUE"""),0.0)</f>
        <v>0</v>
      </c>
      <c r="N50" s="3">
        <f>IFERROR(__xludf.DUMMYFUNCTION("""COMPUTED_VALUE"""),1.0)</f>
        <v>1</v>
      </c>
      <c r="O50" s="3">
        <f>IFERROR(__xludf.DUMMYFUNCTION("""COMPUTED_VALUE"""),1.0)</f>
        <v>1</v>
      </c>
      <c r="P50" s="3">
        <f>IFERROR(__xludf.DUMMYFUNCTION("""COMPUTED_VALUE"""),1.0)</f>
        <v>1</v>
      </c>
      <c r="Q50" s="3">
        <f>IFERROR(__xludf.DUMMYFUNCTION("""COMPUTED_VALUE"""),1.0)</f>
        <v>1</v>
      </c>
      <c r="S50" s="3">
        <v>1.0</v>
      </c>
      <c r="T50" s="3">
        <v>1.0</v>
      </c>
      <c r="U50" s="3">
        <v>0.0</v>
      </c>
      <c r="V50" s="3">
        <v>1.0</v>
      </c>
      <c r="W50" s="3">
        <v>1.0</v>
      </c>
      <c r="X50" s="3">
        <v>1.0</v>
      </c>
      <c r="Y50" s="3">
        <v>1.0</v>
      </c>
      <c r="Z50" s="3">
        <v>0.0</v>
      </c>
      <c r="AA50" s="3">
        <v>1.0</v>
      </c>
      <c r="AB50" s="3">
        <v>1.0</v>
      </c>
      <c r="AC50" s="3">
        <v>1.0</v>
      </c>
      <c r="AD50" s="3">
        <v>0.0</v>
      </c>
      <c r="AE50" s="3">
        <v>1.0</v>
      </c>
      <c r="AF50" s="3">
        <v>1.0</v>
      </c>
      <c r="AG50" s="3">
        <v>1.0</v>
      </c>
      <c r="AH50" s="3">
        <v>1.0</v>
      </c>
    </row>
    <row r="51">
      <c r="A51" s="2" t="s">
        <v>70</v>
      </c>
      <c r="B51" s="3">
        <f>IFERROR(__xludf.DUMMYFUNCTION("split(A51,""{,}"")"),1.0)</f>
        <v>1</v>
      </c>
      <c r="C51" s="3">
        <f>IFERROR(__xludf.DUMMYFUNCTION("""COMPUTED_VALUE"""),0.0)</f>
        <v>0</v>
      </c>
      <c r="D51" s="3">
        <f>IFERROR(__xludf.DUMMYFUNCTION("""COMPUTED_VALUE"""),0.0)</f>
        <v>0</v>
      </c>
      <c r="E51" s="3">
        <f>IFERROR(__xludf.DUMMYFUNCTION("""COMPUTED_VALUE"""),0.0)</f>
        <v>0</v>
      </c>
      <c r="F51" s="3">
        <f>IFERROR(__xludf.DUMMYFUNCTION("""COMPUTED_VALUE"""),0.0)</f>
        <v>0</v>
      </c>
      <c r="G51" s="3">
        <f>IFERROR(__xludf.DUMMYFUNCTION("""COMPUTED_VALUE"""),0.0)</f>
        <v>0</v>
      </c>
      <c r="H51" s="3">
        <f>IFERROR(__xludf.DUMMYFUNCTION("""COMPUTED_VALUE"""),0.0)</f>
        <v>0</v>
      </c>
      <c r="I51" s="3">
        <f>IFERROR(__xludf.DUMMYFUNCTION("""COMPUTED_VALUE"""),0.0)</f>
        <v>0</v>
      </c>
      <c r="J51" s="3">
        <f>IFERROR(__xludf.DUMMYFUNCTION("""COMPUTED_VALUE"""),0.0)</f>
        <v>0</v>
      </c>
      <c r="K51" s="3">
        <f>IFERROR(__xludf.DUMMYFUNCTION("""COMPUTED_VALUE"""),0.0)</f>
        <v>0</v>
      </c>
      <c r="L51" s="3">
        <f>IFERROR(__xludf.DUMMYFUNCTION("""COMPUTED_VALUE"""),5.0)</f>
        <v>5</v>
      </c>
      <c r="M51" s="3">
        <f>IFERROR(__xludf.DUMMYFUNCTION("""COMPUTED_VALUE"""),0.0)</f>
        <v>0</v>
      </c>
      <c r="N51" s="3">
        <f>IFERROR(__xludf.DUMMYFUNCTION("""COMPUTED_VALUE"""),0.0)</f>
        <v>0</v>
      </c>
      <c r="O51" s="3">
        <f>IFERROR(__xludf.DUMMYFUNCTION("""COMPUTED_VALUE"""),0.0)</f>
        <v>0</v>
      </c>
      <c r="P51" s="3">
        <f>IFERROR(__xludf.DUMMYFUNCTION("""COMPUTED_VALUE"""),0.0)</f>
        <v>0</v>
      </c>
      <c r="Q51" s="3">
        <f>IFERROR(__xludf.DUMMYFUNCTION("""COMPUTED_VALUE"""),1.0)</f>
        <v>1</v>
      </c>
      <c r="S51" s="3">
        <v>1.0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3">
        <v>0.0</v>
      </c>
      <c r="AA51" s="2">
        <v>4.0</v>
      </c>
      <c r="AB51" s="3">
        <v>0.0</v>
      </c>
      <c r="AC51" s="3">
        <v>5.0</v>
      </c>
      <c r="AD51" s="3">
        <v>0.0</v>
      </c>
      <c r="AE51" s="3">
        <v>0.0</v>
      </c>
      <c r="AF51" s="3">
        <v>0.0</v>
      </c>
      <c r="AG51" s="3">
        <v>0.0</v>
      </c>
      <c r="AH51" s="3">
        <v>1.0</v>
      </c>
    </row>
    <row r="52">
      <c r="A52" s="2" t="s">
        <v>71</v>
      </c>
      <c r="B52" s="3">
        <f>IFERROR(__xludf.DUMMYFUNCTION("split(A52,""{,}"")"),1.0)</f>
        <v>1</v>
      </c>
      <c r="C52" s="3">
        <f>IFERROR(__xludf.DUMMYFUNCTION("""COMPUTED_VALUE"""),0.0)</f>
        <v>0</v>
      </c>
      <c r="D52" s="3">
        <f>IFERROR(__xludf.DUMMYFUNCTION("""COMPUTED_VALUE"""),1.0)</f>
        <v>1</v>
      </c>
      <c r="E52" s="3">
        <f>IFERROR(__xludf.DUMMYFUNCTION("""COMPUTED_VALUE"""),5.0)</f>
        <v>5</v>
      </c>
      <c r="F52" s="3">
        <f>IFERROR(__xludf.DUMMYFUNCTION("""COMPUTED_VALUE"""),0.0)</f>
        <v>0</v>
      </c>
      <c r="G52" s="3">
        <f>IFERROR(__xludf.DUMMYFUNCTION("""COMPUTED_VALUE"""),1.0)</f>
        <v>1</v>
      </c>
      <c r="H52" s="3">
        <f>IFERROR(__xludf.DUMMYFUNCTION("""COMPUTED_VALUE"""),1.0)</f>
        <v>1</v>
      </c>
      <c r="I52" s="3">
        <f>IFERROR(__xludf.DUMMYFUNCTION("""COMPUTED_VALUE"""),0.0)</f>
        <v>0</v>
      </c>
      <c r="J52" s="3">
        <f>IFERROR(__xludf.DUMMYFUNCTION("""COMPUTED_VALUE"""),1.0)</f>
        <v>1</v>
      </c>
      <c r="K52" s="3">
        <f>IFERROR(__xludf.DUMMYFUNCTION("""COMPUTED_VALUE"""),0.0)</f>
        <v>0</v>
      </c>
      <c r="L52" s="3">
        <f>IFERROR(__xludf.DUMMYFUNCTION("""COMPUTED_VALUE"""),1.0)</f>
        <v>1</v>
      </c>
      <c r="M52" s="3">
        <f>IFERROR(__xludf.DUMMYFUNCTION("""COMPUTED_VALUE"""),1.0)</f>
        <v>1</v>
      </c>
      <c r="N52" s="3">
        <f>IFERROR(__xludf.DUMMYFUNCTION("""COMPUTED_VALUE"""),0.0)</f>
        <v>0</v>
      </c>
      <c r="O52" s="3">
        <f>IFERROR(__xludf.DUMMYFUNCTION("""COMPUTED_VALUE"""),5.0)</f>
        <v>5</v>
      </c>
      <c r="P52" s="3">
        <f>IFERROR(__xludf.DUMMYFUNCTION("""COMPUTED_VALUE"""),1.0)</f>
        <v>1</v>
      </c>
      <c r="Q52" s="3">
        <f>IFERROR(__xludf.DUMMYFUNCTION("""COMPUTED_VALUE"""),1.0)</f>
        <v>1</v>
      </c>
      <c r="S52" s="3">
        <v>1.0</v>
      </c>
      <c r="T52" s="3">
        <v>0.0</v>
      </c>
      <c r="U52" s="3">
        <v>1.0</v>
      </c>
      <c r="V52" s="3">
        <v>5.0</v>
      </c>
      <c r="W52" s="3">
        <v>0.0</v>
      </c>
      <c r="X52" s="3">
        <v>1.0</v>
      </c>
      <c r="Y52" s="3">
        <v>1.0</v>
      </c>
      <c r="Z52" s="3">
        <v>0.0</v>
      </c>
      <c r="AA52" s="3">
        <v>1.0</v>
      </c>
      <c r="AB52" s="3">
        <v>0.0</v>
      </c>
      <c r="AC52" s="3">
        <v>1.0</v>
      </c>
      <c r="AD52" s="3">
        <v>1.0</v>
      </c>
      <c r="AE52" s="3">
        <v>0.0</v>
      </c>
      <c r="AF52" s="3">
        <v>5.0</v>
      </c>
      <c r="AG52" s="3">
        <v>1.0</v>
      </c>
      <c r="AH52" s="3">
        <v>1.0</v>
      </c>
    </row>
    <row r="53">
      <c r="A53" s="2" t="s">
        <v>32</v>
      </c>
      <c r="B53" s="3">
        <f>IFERROR(__xludf.DUMMYFUNCTION("split(A53,""{,}"")"),1.0)</f>
        <v>1</v>
      </c>
      <c r="C53" s="3">
        <f>IFERROR(__xludf.DUMMYFUNCTION("""COMPUTED_VALUE"""),0.0)</f>
        <v>0</v>
      </c>
      <c r="D53" s="3">
        <f>IFERROR(__xludf.DUMMYFUNCTION("""COMPUTED_VALUE"""),0.0)</f>
        <v>0</v>
      </c>
      <c r="E53" s="3">
        <f>IFERROR(__xludf.DUMMYFUNCTION("""COMPUTED_VALUE"""),0.0)</f>
        <v>0</v>
      </c>
      <c r="F53" s="3">
        <f>IFERROR(__xludf.DUMMYFUNCTION("""COMPUTED_VALUE"""),0.0)</f>
        <v>0</v>
      </c>
      <c r="G53" s="3">
        <f>IFERROR(__xludf.DUMMYFUNCTION("""COMPUTED_VALUE"""),0.0)</f>
        <v>0</v>
      </c>
      <c r="H53" s="3">
        <f>IFERROR(__xludf.DUMMYFUNCTION("""COMPUTED_VALUE"""),0.0)</f>
        <v>0</v>
      </c>
      <c r="I53" s="3">
        <f>IFERROR(__xludf.DUMMYFUNCTION("""COMPUTED_VALUE"""),0.0)</f>
        <v>0</v>
      </c>
      <c r="J53" s="3">
        <f>IFERROR(__xludf.DUMMYFUNCTION("""COMPUTED_VALUE"""),0.0)</f>
        <v>0</v>
      </c>
      <c r="K53" s="3">
        <f>IFERROR(__xludf.DUMMYFUNCTION("""COMPUTED_VALUE"""),0.0)</f>
        <v>0</v>
      </c>
      <c r="L53" s="3">
        <f>IFERROR(__xludf.DUMMYFUNCTION("""COMPUTED_VALUE"""),0.0)</f>
        <v>0</v>
      </c>
      <c r="M53" s="3">
        <f>IFERROR(__xludf.DUMMYFUNCTION("""COMPUTED_VALUE"""),0.0)</f>
        <v>0</v>
      </c>
      <c r="N53" s="3">
        <f>IFERROR(__xludf.DUMMYFUNCTION("""COMPUTED_VALUE"""),0.0)</f>
        <v>0</v>
      </c>
      <c r="O53" s="3">
        <f>IFERROR(__xludf.DUMMYFUNCTION("""COMPUTED_VALUE"""),0.0)</f>
        <v>0</v>
      </c>
      <c r="P53" s="3">
        <f>IFERROR(__xludf.DUMMYFUNCTION("""COMPUTED_VALUE"""),6.0)</f>
        <v>6</v>
      </c>
      <c r="Q53" s="3">
        <f>IFERROR(__xludf.DUMMYFUNCTION("""COMPUTED_VALUE"""),1.0)</f>
        <v>1</v>
      </c>
      <c r="S53" s="3">
        <v>1.0</v>
      </c>
      <c r="T53" s="3">
        <v>0.0</v>
      </c>
      <c r="U53" s="3">
        <v>0.0</v>
      </c>
      <c r="V53" s="3">
        <v>0.0</v>
      </c>
      <c r="W53" s="3">
        <v>0.0</v>
      </c>
      <c r="X53" s="3">
        <v>0.0</v>
      </c>
      <c r="Y53" s="3">
        <v>0.0</v>
      </c>
      <c r="Z53" s="3">
        <v>0.0</v>
      </c>
      <c r="AA53" s="3">
        <v>0.0</v>
      </c>
      <c r="AB53" s="3">
        <v>0.0</v>
      </c>
      <c r="AC53" s="3">
        <v>0.0</v>
      </c>
      <c r="AD53" s="3">
        <v>0.0</v>
      </c>
      <c r="AE53" s="3">
        <v>0.0</v>
      </c>
      <c r="AF53" s="3">
        <v>0.0</v>
      </c>
      <c r="AG53" s="3">
        <v>6.0</v>
      </c>
      <c r="AH53" s="3">
        <v>1.0</v>
      </c>
    </row>
    <row r="54">
      <c r="A54" s="2" t="s">
        <v>3</v>
      </c>
      <c r="B54" s="3">
        <f>IFERROR(__xludf.DUMMYFUNCTION("split(A54,""{,}"")"),1.0)</f>
        <v>1</v>
      </c>
      <c r="C54" s="3">
        <f>IFERROR(__xludf.DUMMYFUNCTION("""COMPUTED_VALUE"""),1.0)</f>
        <v>1</v>
      </c>
      <c r="D54" s="3">
        <f>IFERROR(__xludf.DUMMYFUNCTION("""COMPUTED_VALUE"""),1.0)</f>
        <v>1</v>
      </c>
      <c r="E54" s="3">
        <f>IFERROR(__xludf.DUMMYFUNCTION("""COMPUTED_VALUE"""),1.0)</f>
        <v>1</v>
      </c>
      <c r="F54" s="3">
        <f>IFERROR(__xludf.DUMMYFUNCTION("""COMPUTED_VALUE"""),1.0)</f>
        <v>1</v>
      </c>
      <c r="G54" s="3">
        <f>IFERROR(__xludf.DUMMYFUNCTION("""COMPUTED_VALUE"""),1.0)</f>
        <v>1</v>
      </c>
      <c r="H54" s="3">
        <f>IFERROR(__xludf.DUMMYFUNCTION("""COMPUTED_VALUE"""),1.0)</f>
        <v>1</v>
      </c>
      <c r="I54" s="3">
        <f>IFERROR(__xludf.DUMMYFUNCTION("""COMPUTED_VALUE"""),1.0)</f>
        <v>1</v>
      </c>
      <c r="J54" s="3">
        <f>IFERROR(__xludf.DUMMYFUNCTION("""COMPUTED_VALUE"""),1.0)</f>
        <v>1</v>
      </c>
      <c r="K54" s="3">
        <f>IFERROR(__xludf.DUMMYFUNCTION("""COMPUTED_VALUE"""),1.0)</f>
        <v>1</v>
      </c>
      <c r="L54" s="3">
        <f>IFERROR(__xludf.DUMMYFUNCTION("""COMPUTED_VALUE"""),1.0)</f>
        <v>1</v>
      </c>
      <c r="M54" s="3">
        <f>IFERROR(__xludf.DUMMYFUNCTION("""COMPUTED_VALUE"""),1.0)</f>
        <v>1</v>
      </c>
      <c r="N54" s="3">
        <f>IFERROR(__xludf.DUMMYFUNCTION("""COMPUTED_VALUE"""),1.0)</f>
        <v>1</v>
      </c>
      <c r="O54" s="3">
        <f>IFERROR(__xludf.DUMMYFUNCTION("""COMPUTED_VALUE"""),1.0)</f>
        <v>1</v>
      </c>
      <c r="P54" s="3">
        <f>IFERROR(__xludf.DUMMYFUNCTION("""COMPUTED_VALUE"""),1.0)</f>
        <v>1</v>
      </c>
      <c r="Q54" s="3">
        <f>IFERROR(__xludf.DUMMYFUNCTION("""COMPUTED_VALUE"""),1.0)</f>
        <v>1</v>
      </c>
      <c r="S54" s="3">
        <v>1.0</v>
      </c>
      <c r="T54" s="3">
        <v>1.0</v>
      </c>
      <c r="U54" s="3">
        <v>1.0</v>
      </c>
      <c r="V54" s="3">
        <v>1.0</v>
      </c>
      <c r="W54" s="3">
        <v>1.0</v>
      </c>
      <c r="X54" s="3">
        <v>1.0</v>
      </c>
      <c r="Y54" s="3">
        <v>1.0</v>
      </c>
      <c r="Z54" s="3">
        <v>1.0</v>
      </c>
      <c r="AA54" s="3">
        <v>1.0</v>
      </c>
      <c r="AB54" s="3">
        <v>1.0</v>
      </c>
      <c r="AC54" s="3">
        <v>1.0</v>
      </c>
      <c r="AD54" s="3">
        <v>1.0</v>
      </c>
      <c r="AE54" s="3">
        <v>1.0</v>
      </c>
      <c r="AF54" s="3">
        <v>1.0</v>
      </c>
      <c r="AG54" s="3">
        <v>1.0</v>
      </c>
      <c r="AH54" s="3">
        <v>1.0</v>
      </c>
    </row>
    <row r="55">
      <c r="A55" s="2" t="s">
        <v>33</v>
      </c>
    </row>
    <row r="56">
      <c r="A56" s="2">
        <v>7.2</v>
      </c>
    </row>
    <row r="57">
      <c r="A57" s="2" t="s">
        <v>3</v>
      </c>
      <c r="B57" s="3">
        <f>IFERROR(__xludf.DUMMYFUNCTION("split(A57,""{,}"")"),1.0)</f>
        <v>1</v>
      </c>
      <c r="C57" s="3">
        <f>IFERROR(__xludf.DUMMYFUNCTION("""COMPUTED_VALUE"""),1.0)</f>
        <v>1</v>
      </c>
      <c r="D57" s="3">
        <f>IFERROR(__xludf.DUMMYFUNCTION("""COMPUTED_VALUE"""),1.0)</f>
        <v>1</v>
      </c>
      <c r="E57" s="3">
        <f>IFERROR(__xludf.DUMMYFUNCTION("""COMPUTED_VALUE"""),1.0)</f>
        <v>1</v>
      </c>
      <c r="F57" s="3">
        <f>IFERROR(__xludf.DUMMYFUNCTION("""COMPUTED_VALUE"""),1.0)</f>
        <v>1</v>
      </c>
      <c r="G57" s="3">
        <f>IFERROR(__xludf.DUMMYFUNCTION("""COMPUTED_VALUE"""),1.0)</f>
        <v>1</v>
      </c>
      <c r="H57" s="3">
        <f>IFERROR(__xludf.DUMMYFUNCTION("""COMPUTED_VALUE"""),1.0)</f>
        <v>1</v>
      </c>
      <c r="I57" s="3">
        <f>IFERROR(__xludf.DUMMYFUNCTION("""COMPUTED_VALUE"""),1.0)</f>
        <v>1</v>
      </c>
      <c r="J57" s="3">
        <f>IFERROR(__xludf.DUMMYFUNCTION("""COMPUTED_VALUE"""),1.0)</f>
        <v>1</v>
      </c>
      <c r="K57" s="3">
        <f>IFERROR(__xludf.DUMMYFUNCTION("""COMPUTED_VALUE"""),1.0)</f>
        <v>1</v>
      </c>
      <c r="L57" s="3">
        <f>IFERROR(__xludf.DUMMYFUNCTION("""COMPUTED_VALUE"""),1.0)</f>
        <v>1</v>
      </c>
      <c r="M57" s="3">
        <f>IFERROR(__xludf.DUMMYFUNCTION("""COMPUTED_VALUE"""),1.0)</f>
        <v>1</v>
      </c>
      <c r="N57" s="3">
        <f>IFERROR(__xludf.DUMMYFUNCTION("""COMPUTED_VALUE"""),1.0)</f>
        <v>1</v>
      </c>
      <c r="O57" s="3">
        <f>IFERROR(__xludf.DUMMYFUNCTION("""COMPUTED_VALUE"""),1.0)</f>
        <v>1</v>
      </c>
      <c r="P57" s="3">
        <f>IFERROR(__xludf.DUMMYFUNCTION("""COMPUTED_VALUE"""),1.0)</f>
        <v>1</v>
      </c>
      <c r="Q57" s="3">
        <f>IFERROR(__xludf.DUMMYFUNCTION("""COMPUTED_VALUE"""),1.0)</f>
        <v>1</v>
      </c>
      <c r="S57" s="3">
        <v>1.0</v>
      </c>
      <c r="T57" s="3">
        <v>1.0</v>
      </c>
      <c r="U57" s="3">
        <v>1.0</v>
      </c>
      <c r="V57" s="3">
        <v>1.0</v>
      </c>
      <c r="W57" s="3">
        <v>1.0</v>
      </c>
      <c r="X57" s="3">
        <v>1.0</v>
      </c>
      <c r="Y57" s="3">
        <v>1.0</v>
      </c>
      <c r="Z57" s="3">
        <v>1.0</v>
      </c>
      <c r="AA57" s="3">
        <v>1.0</v>
      </c>
      <c r="AB57" s="3">
        <v>1.0</v>
      </c>
      <c r="AC57" s="3">
        <v>1.0</v>
      </c>
      <c r="AD57" s="3">
        <v>1.0</v>
      </c>
      <c r="AE57" s="3">
        <v>1.0</v>
      </c>
      <c r="AF57" s="3">
        <v>1.0</v>
      </c>
      <c r="AG57" s="3">
        <v>1.0</v>
      </c>
      <c r="AH57" s="3">
        <v>1.0</v>
      </c>
    </row>
    <row r="58">
      <c r="A58" s="2" t="s">
        <v>43</v>
      </c>
      <c r="B58" s="3">
        <f>IFERROR(__xludf.DUMMYFUNCTION("split(A58,""{,}"")"),1.0)</f>
        <v>1</v>
      </c>
      <c r="C58" s="3">
        <f>IFERROR(__xludf.DUMMYFUNCTION("""COMPUTED_VALUE"""),0.0)</f>
        <v>0</v>
      </c>
      <c r="D58" s="3">
        <f>IFERROR(__xludf.DUMMYFUNCTION("""COMPUTED_VALUE"""),0.0)</f>
        <v>0</v>
      </c>
      <c r="E58" s="3">
        <f>IFERROR(__xludf.DUMMYFUNCTION("""COMPUTED_VALUE"""),0.0)</f>
        <v>0</v>
      </c>
      <c r="F58" s="3">
        <f>IFERROR(__xludf.DUMMYFUNCTION("""COMPUTED_VALUE"""),1.0)</f>
        <v>1</v>
      </c>
      <c r="G58" s="3">
        <f>IFERROR(__xludf.DUMMYFUNCTION("""COMPUTED_VALUE"""),0.0)</f>
        <v>0</v>
      </c>
      <c r="H58" s="3">
        <f>IFERROR(__xludf.DUMMYFUNCTION("""COMPUTED_VALUE"""),0.0)</f>
        <v>0</v>
      </c>
      <c r="I58" s="3">
        <f>IFERROR(__xludf.DUMMYFUNCTION("""COMPUTED_VALUE"""),0.0)</f>
        <v>0</v>
      </c>
      <c r="J58" s="3">
        <f>IFERROR(__xludf.DUMMYFUNCTION("""COMPUTED_VALUE"""),0.0)</f>
        <v>0</v>
      </c>
      <c r="K58" s="3">
        <f>IFERROR(__xludf.DUMMYFUNCTION("""COMPUTED_VALUE"""),0.0)</f>
        <v>0</v>
      </c>
      <c r="L58" s="3">
        <f>IFERROR(__xludf.DUMMYFUNCTION("""COMPUTED_VALUE"""),1.0)</f>
        <v>1</v>
      </c>
      <c r="M58" s="3">
        <f>IFERROR(__xludf.DUMMYFUNCTION("""COMPUTED_VALUE"""),0.0)</f>
        <v>0</v>
      </c>
      <c r="N58" s="3">
        <f>IFERROR(__xludf.DUMMYFUNCTION("""COMPUTED_VALUE"""),0.0)</f>
        <v>0</v>
      </c>
      <c r="O58" s="3">
        <f>IFERROR(__xludf.DUMMYFUNCTION("""COMPUTED_VALUE"""),0.0)</f>
        <v>0</v>
      </c>
      <c r="P58" s="3">
        <f>IFERROR(__xludf.DUMMYFUNCTION("""COMPUTED_VALUE"""),0.0)</f>
        <v>0</v>
      </c>
      <c r="Q58" s="3">
        <f>IFERROR(__xludf.DUMMYFUNCTION("""COMPUTED_VALUE"""),1.0)</f>
        <v>1</v>
      </c>
      <c r="S58" s="3">
        <v>1.0</v>
      </c>
      <c r="T58" s="3">
        <v>0.0</v>
      </c>
      <c r="U58" s="2">
        <v>4.0</v>
      </c>
      <c r="V58" s="2">
        <v>4.0</v>
      </c>
      <c r="W58" s="3">
        <v>1.0</v>
      </c>
      <c r="X58" s="3">
        <v>0.0</v>
      </c>
      <c r="Y58" s="3">
        <v>0.0</v>
      </c>
      <c r="Z58" s="3">
        <v>0.0</v>
      </c>
      <c r="AA58" s="3">
        <v>0.0</v>
      </c>
      <c r="AB58" s="3">
        <v>0.0</v>
      </c>
      <c r="AC58" s="3">
        <v>1.0</v>
      </c>
      <c r="AD58" s="3">
        <v>0.0</v>
      </c>
      <c r="AE58" s="3">
        <v>0.0</v>
      </c>
      <c r="AF58" s="3">
        <v>0.0</v>
      </c>
      <c r="AG58" s="3">
        <v>0.0</v>
      </c>
      <c r="AH58" s="3">
        <v>1.0</v>
      </c>
    </row>
    <row r="59">
      <c r="A59" s="2" t="s">
        <v>72</v>
      </c>
      <c r="B59" s="3">
        <f>IFERROR(__xludf.DUMMYFUNCTION("split(A59,""{,}"")"),1.0)</f>
        <v>1</v>
      </c>
      <c r="C59" s="3">
        <f>IFERROR(__xludf.DUMMYFUNCTION("""COMPUTED_VALUE"""),0.0)</f>
        <v>0</v>
      </c>
      <c r="D59" s="3">
        <f>IFERROR(__xludf.DUMMYFUNCTION("""COMPUTED_VALUE"""),1.0)</f>
        <v>1</v>
      </c>
      <c r="E59" s="3">
        <f>IFERROR(__xludf.DUMMYFUNCTION("""COMPUTED_VALUE"""),1.0)</f>
        <v>1</v>
      </c>
      <c r="F59" s="3">
        <f>IFERROR(__xludf.DUMMYFUNCTION("""COMPUTED_VALUE"""),1.0)</f>
        <v>1</v>
      </c>
      <c r="G59" s="3">
        <f>IFERROR(__xludf.DUMMYFUNCTION("""COMPUTED_VALUE"""),0.0)</f>
        <v>0</v>
      </c>
      <c r="H59" s="3">
        <f>IFERROR(__xludf.DUMMYFUNCTION("""COMPUTED_VALUE"""),1.0)</f>
        <v>1</v>
      </c>
      <c r="I59" s="3">
        <f>IFERROR(__xludf.DUMMYFUNCTION("""COMPUTED_VALUE"""),5.0)</f>
        <v>5</v>
      </c>
      <c r="J59" s="3">
        <f>IFERROR(__xludf.DUMMYFUNCTION("""COMPUTED_VALUE"""),1.0)</f>
        <v>1</v>
      </c>
      <c r="K59" s="3">
        <f>IFERROR(__xludf.DUMMYFUNCTION("""COMPUTED_VALUE"""),0.0)</f>
        <v>0</v>
      </c>
      <c r="L59" s="3">
        <f>IFERROR(__xludf.DUMMYFUNCTION("""COMPUTED_VALUE"""),1.0)</f>
        <v>1</v>
      </c>
      <c r="M59" s="3">
        <f>IFERROR(__xludf.DUMMYFUNCTION("""COMPUTED_VALUE"""),1.0)</f>
        <v>1</v>
      </c>
      <c r="N59" s="3">
        <f>IFERROR(__xludf.DUMMYFUNCTION("""COMPUTED_VALUE"""),1.0)</f>
        <v>1</v>
      </c>
      <c r="O59" s="3">
        <f>IFERROR(__xludf.DUMMYFUNCTION("""COMPUTED_VALUE"""),0.0)</f>
        <v>0</v>
      </c>
      <c r="P59" s="3">
        <f>IFERROR(__xludf.DUMMYFUNCTION("""COMPUTED_VALUE"""),5.0)</f>
        <v>5</v>
      </c>
      <c r="Q59" s="3">
        <f>IFERROR(__xludf.DUMMYFUNCTION("""COMPUTED_VALUE"""),1.0)</f>
        <v>1</v>
      </c>
      <c r="S59" s="3">
        <v>1.0</v>
      </c>
      <c r="T59" s="3">
        <v>0.0</v>
      </c>
      <c r="U59" s="3">
        <v>1.0</v>
      </c>
      <c r="V59" s="3">
        <v>1.0</v>
      </c>
      <c r="W59" s="3">
        <v>1.0</v>
      </c>
      <c r="X59" s="3">
        <v>0.0</v>
      </c>
      <c r="Y59" s="3">
        <v>1.0</v>
      </c>
      <c r="Z59" s="3">
        <v>5.0</v>
      </c>
      <c r="AA59" s="3">
        <v>1.0</v>
      </c>
      <c r="AB59" s="3">
        <v>0.0</v>
      </c>
      <c r="AC59" s="3">
        <v>1.0</v>
      </c>
      <c r="AD59" s="3">
        <v>1.0</v>
      </c>
      <c r="AE59" s="3">
        <v>1.0</v>
      </c>
      <c r="AF59" s="3">
        <v>0.0</v>
      </c>
      <c r="AG59" s="3">
        <v>5.0</v>
      </c>
      <c r="AH59" s="3">
        <v>1.0</v>
      </c>
    </row>
    <row r="60">
      <c r="A60" s="2" t="s">
        <v>73</v>
      </c>
      <c r="B60" s="3">
        <f>IFERROR(__xludf.DUMMYFUNCTION("split(A60,""{,}"")"),1.0)</f>
        <v>1</v>
      </c>
      <c r="C60" s="3">
        <f>IFERROR(__xludf.DUMMYFUNCTION("""COMPUTED_VALUE"""),0.0)</f>
        <v>0</v>
      </c>
      <c r="D60" s="3">
        <f>IFERROR(__xludf.DUMMYFUNCTION("""COMPUTED_VALUE"""),0.0)</f>
        <v>0</v>
      </c>
      <c r="E60" s="3">
        <f>IFERROR(__xludf.DUMMYFUNCTION("""COMPUTED_VALUE"""),0.0)</f>
        <v>0</v>
      </c>
      <c r="F60" s="3">
        <f>IFERROR(__xludf.DUMMYFUNCTION("""COMPUTED_VALUE"""),0.0)</f>
        <v>0</v>
      </c>
      <c r="G60" s="3">
        <f>IFERROR(__xludf.DUMMYFUNCTION("""COMPUTED_VALUE"""),0.0)</f>
        <v>0</v>
      </c>
      <c r="H60" s="3">
        <f>IFERROR(__xludf.DUMMYFUNCTION("""COMPUTED_VALUE"""),1.0)</f>
        <v>1</v>
      </c>
      <c r="I60" s="3">
        <f>IFERROR(__xludf.DUMMYFUNCTION("""COMPUTED_VALUE"""),0.0)</f>
        <v>0</v>
      </c>
      <c r="J60" s="3">
        <f>IFERROR(__xludf.DUMMYFUNCTION("""COMPUTED_VALUE"""),0.0)</f>
        <v>0</v>
      </c>
      <c r="K60" s="3">
        <f>IFERROR(__xludf.DUMMYFUNCTION("""COMPUTED_VALUE"""),0.0)</f>
        <v>0</v>
      </c>
      <c r="L60" s="3">
        <f>IFERROR(__xludf.DUMMYFUNCTION("""COMPUTED_VALUE"""),0.0)</f>
        <v>0</v>
      </c>
      <c r="M60" s="3">
        <f>IFERROR(__xludf.DUMMYFUNCTION("""COMPUTED_VALUE"""),0.0)</f>
        <v>0</v>
      </c>
      <c r="N60" s="3">
        <f>IFERROR(__xludf.DUMMYFUNCTION("""COMPUTED_VALUE"""),0.0)</f>
        <v>0</v>
      </c>
      <c r="O60" s="3">
        <f>IFERROR(__xludf.DUMMYFUNCTION("""COMPUTED_VALUE"""),0.0)</f>
        <v>0</v>
      </c>
      <c r="P60" s="3">
        <f>IFERROR(__xludf.DUMMYFUNCTION("""COMPUTED_VALUE"""),1.0)</f>
        <v>1</v>
      </c>
      <c r="Q60" s="3">
        <f>IFERROR(__xludf.DUMMYFUNCTION("""COMPUTED_VALUE"""),1.0)</f>
        <v>1</v>
      </c>
      <c r="S60" s="3">
        <v>1.0</v>
      </c>
      <c r="T60" s="3">
        <v>0.0</v>
      </c>
      <c r="U60" s="3">
        <v>0.0</v>
      </c>
      <c r="V60" s="3">
        <v>0.0</v>
      </c>
      <c r="W60" s="3">
        <v>0.0</v>
      </c>
      <c r="X60" s="3">
        <v>0.0</v>
      </c>
      <c r="Y60" s="3">
        <v>1.0</v>
      </c>
      <c r="Z60" s="3">
        <v>0.0</v>
      </c>
      <c r="AA60" s="3">
        <v>0.0</v>
      </c>
      <c r="AB60" s="3">
        <v>0.0</v>
      </c>
      <c r="AC60" s="3">
        <v>0.0</v>
      </c>
      <c r="AD60" s="3">
        <v>0.0</v>
      </c>
      <c r="AE60" s="3">
        <v>0.0</v>
      </c>
      <c r="AF60" s="3">
        <v>0.0</v>
      </c>
      <c r="AG60" s="3">
        <v>1.0</v>
      </c>
      <c r="AH60" s="3">
        <v>1.0</v>
      </c>
    </row>
    <row r="61">
      <c r="A61" s="2" t="s">
        <v>69</v>
      </c>
      <c r="B61" s="3">
        <f>IFERROR(__xludf.DUMMYFUNCTION("split(A61,""{,}"")"),1.0)</f>
        <v>1</v>
      </c>
      <c r="C61" s="3">
        <f>IFERROR(__xludf.DUMMYFUNCTION("""COMPUTED_VALUE"""),1.0)</f>
        <v>1</v>
      </c>
      <c r="D61" s="3">
        <f>IFERROR(__xludf.DUMMYFUNCTION("""COMPUTED_VALUE"""),0.0)</f>
        <v>0</v>
      </c>
      <c r="E61" s="3">
        <f>IFERROR(__xludf.DUMMYFUNCTION("""COMPUTED_VALUE"""),1.0)</f>
        <v>1</v>
      </c>
      <c r="F61" s="3">
        <f>IFERROR(__xludf.DUMMYFUNCTION("""COMPUTED_VALUE"""),1.0)</f>
        <v>1</v>
      </c>
      <c r="G61" s="3">
        <f>IFERROR(__xludf.DUMMYFUNCTION("""COMPUTED_VALUE"""),1.0)</f>
        <v>1</v>
      </c>
      <c r="H61" s="3">
        <f>IFERROR(__xludf.DUMMYFUNCTION("""COMPUTED_VALUE"""),1.0)</f>
        <v>1</v>
      </c>
      <c r="I61" s="3">
        <f>IFERROR(__xludf.DUMMYFUNCTION("""COMPUTED_VALUE"""),0.0)</f>
        <v>0</v>
      </c>
      <c r="J61" s="3">
        <f>IFERROR(__xludf.DUMMYFUNCTION("""COMPUTED_VALUE"""),1.0)</f>
        <v>1</v>
      </c>
      <c r="K61" s="3">
        <f>IFERROR(__xludf.DUMMYFUNCTION("""COMPUTED_VALUE"""),1.0)</f>
        <v>1</v>
      </c>
      <c r="L61" s="3">
        <f>IFERROR(__xludf.DUMMYFUNCTION("""COMPUTED_VALUE"""),1.0)</f>
        <v>1</v>
      </c>
      <c r="M61" s="3">
        <f>IFERROR(__xludf.DUMMYFUNCTION("""COMPUTED_VALUE"""),0.0)</f>
        <v>0</v>
      </c>
      <c r="N61" s="3">
        <f>IFERROR(__xludf.DUMMYFUNCTION("""COMPUTED_VALUE"""),1.0)</f>
        <v>1</v>
      </c>
      <c r="O61" s="3">
        <f>IFERROR(__xludf.DUMMYFUNCTION("""COMPUTED_VALUE"""),1.0)</f>
        <v>1</v>
      </c>
      <c r="P61" s="3">
        <f>IFERROR(__xludf.DUMMYFUNCTION("""COMPUTED_VALUE"""),1.0)</f>
        <v>1</v>
      </c>
      <c r="Q61" s="3">
        <f>IFERROR(__xludf.DUMMYFUNCTION("""COMPUTED_VALUE"""),1.0)</f>
        <v>1</v>
      </c>
      <c r="S61" s="3">
        <v>1.0</v>
      </c>
      <c r="T61" s="3">
        <v>1.0</v>
      </c>
      <c r="U61" s="3">
        <v>0.0</v>
      </c>
      <c r="V61" s="3">
        <v>1.0</v>
      </c>
      <c r="W61" s="3">
        <v>1.0</v>
      </c>
      <c r="X61" s="3">
        <v>1.0</v>
      </c>
      <c r="Y61" s="3">
        <v>1.0</v>
      </c>
      <c r="Z61" s="3">
        <v>0.0</v>
      </c>
      <c r="AA61" s="3">
        <v>1.0</v>
      </c>
      <c r="AB61" s="3">
        <v>1.0</v>
      </c>
      <c r="AC61" s="3">
        <v>1.0</v>
      </c>
      <c r="AD61" s="3">
        <v>0.0</v>
      </c>
      <c r="AE61" s="3">
        <v>1.0</v>
      </c>
      <c r="AF61" s="3">
        <v>1.0</v>
      </c>
      <c r="AG61" s="3">
        <v>1.0</v>
      </c>
      <c r="AH61" s="3">
        <v>1.0</v>
      </c>
    </row>
    <row r="62">
      <c r="A62" s="2" t="s">
        <v>70</v>
      </c>
      <c r="B62" s="3">
        <f>IFERROR(__xludf.DUMMYFUNCTION("split(A62,""{,}"")"),1.0)</f>
        <v>1</v>
      </c>
      <c r="C62" s="3">
        <f>IFERROR(__xludf.DUMMYFUNCTION("""COMPUTED_VALUE"""),0.0)</f>
        <v>0</v>
      </c>
      <c r="D62" s="3">
        <f>IFERROR(__xludf.DUMMYFUNCTION("""COMPUTED_VALUE"""),0.0)</f>
        <v>0</v>
      </c>
      <c r="E62" s="3">
        <f>IFERROR(__xludf.DUMMYFUNCTION("""COMPUTED_VALUE"""),0.0)</f>
        <v>0</v>
      </c>
      <c r="F62" s="3">
        <f>IFERROR(__xludf.DUMMYFUNCTION("""COMPUTED_VALUE"""),0.0)</f>
        <v>0</v>
      </c>
      <c r="G62" s="3">
        <f>IFERROR(__xludf.DUMMYFUNCTION("""COMPUTED_VALUE"""),0.0)</f>
        <v>0</v>
      </c>
      <c r="H62" s="3">
        <f>IFERROR(__xludf.DUMMYFUNCTION("""COMPUTED_VALUE"""),0.0)</f>
        <v>0</v>
      </c>
      <c r="I62" s="3">
        <f>IFERROR(__xludf.DUMMYFUNCTION("""COMPUTED_VALUE"""),0.0)</f>
        <v>0</v>
      </c>
      <c r="J62" s="3">
        <f>IFERROR(__xludf.DUMMYFUNCTION("""COMPUTED_VALUE"""),0.0)</f>
        <v>0</v>
      </c>
      <c r="K62" s="3">
        <f>IFERROR(__xludf.DUMMYFUNCTION("""COMPUTED_VALUE"""),0.0)</f>
        <v>0</v>
      </c>
      <c r="L62" s="3">
        <f>IFERROR(__xludf.DUMMYFUNCTION("""COMPUTED_VALUE"""),5.0)</f>
        <v>5</v>
      </c>
      <c r="M62" s="3">
        <f>IFERROR(__xludf.DUMMYFUNCTION("""COMPUTED_VALUE"""),0.0)</f>
        <v>0</v>
      </c>
      <c r="N62" s="3">
        <f>IFERROR(__xludf.DUMMYFUNCTION("""COMPUTED_VALUE"""),0.0)</f>
        <v>0</v>
      </c>
      <c r="O62" s="3">
        <f>IFERROR(__xludf.DUMMYFUNCTION("""COMPUTED_VALUE"""),0.0)</f>
        <v>0</v>
      </c>
      <c r="P62" s="3">
        <f>IFERROR(__xludf.DUMMYFUNCTION("""COMPUTED_VALUE"""),0.0)</f>
        <v>0</v>
      </c>
      <c r="Q62" s="3">
        <f>IFERROR(__xludf.DUMMYFUNCTION("""COMPUTED_VALUE"""),1.0)</f>
        <v>1</v>
      </c>
      <c r="S62" s="3">
        <v>1.0</v>
      </c>
      <c r="T62" s="3">
        <v>0.0</v>
      </c>
      <c r="U62" s="3">
        <v>0.0</v>
      </c>
      <c r="V62" s="3">
        <v>0.0</v>
      </c>
      <c r="W62" s="3">
        <v>0.0</v>
      </c>
      <c r="X62" s="3">
        <v>0.0</v>
      </c>
      <c r="Y62" s="3">
        <v>0.0</v>
      </c>
      <c r="Z62" s="3">
        <v>0.0</v>
      </c>
      <c r="AA62" s="3">
        <v>0.0</v>
      </c>
      <c r="AB62" s="3">
        <v>0.0</v>
      </c>
      <c r="AC62" s="3">
        <v>5.0</v>
      </c>
      <c r="AD62" s="3">
        <v>0.0</v>
      </c>
      <c r="AE62" s="3">
        <v>0.0</v>
      </c>
      <c r="AF62" s="3">
        <v>0.0</v>
      </c>
      <c r="AG62" s="3">
        <v>0.0</v>
      </c>
      <c r="AH62" s="3">
        <v>1.0</v>
      </c>
    </row>
    <row r="63">
      <c r="A63" s="2" t="s">
        <v>71</v>
      </c>
      <c r="B63" s="3">
        <f>IFERROR(__xludf.DUMMYFUNCTION("split(A63,""{,}"")"),1.0)</f>
        <v>1</v>
      </c>
      <c r="C63" s="3">
        <f>IFERROR(__xludf.DUMMYFUNCTION("""COMPUTED_VALUE"""),0.0)</f>
        <v>0</v>
      </c>
      <c r="D63" s="3">
        <f>IFERROR(__xludf.DUMMYFUNCTION("""COMPUTED_VALUE"""),1.0)</f>
        <v>1</v>
      </c>
      <c r="E63" s="3">
        <f>IFERROR(__xludf.DUMMYFUNCTION("""COMPUTED_VALUE"""),5.0)</f>
        <v>5</v>
      </c>
      <c r="F63" s="3">
        <f>IFERROR(__xludf.DUMMYFUNCTION("""COMPUTED_VALUE"""),0.0)</f>
        <v>0</v>
      </c>
      <c r="G63" s="3">
        <f>IFERROR(__xludf.DUMMYFUNCTION("""COMPUTED_VALUE"""),1.0)</f>
        <v>1</v>
      </c>
      <c r="H63" s="3">
        <f>IFERROR(__xludf.DUMMYFUNCTION("""COMPUTED_VALUE"""),1.0)</f>
        <v>1</v>
      </c>
      <c r="I63" s="3">
        <f>IFERROR(__xludf.DUMMYFUNCTION("""COMPUTED_VALUE"""),0.0)</f>
        <v>0</v>
      </c>
      <c r="J63" s="3">
        <f>IFERROR(__xludf.DUMMYFUNCTION("""COMPUTED_VALUE"""),1.0)</f>
        <v>1</v>
      </c>
      <c r="K63" s="3">
        <f>IFERROR(__xludf.DUMMYFUNCTION("""COMPUTED_VALUE"""),0.0)</f>
        <v>0</v>
      </c>
      <c r="L63" s="3">
        <f>IFERROR(__xludf.DUMMYFUNCTION("""COMPUTED_VALUE"""),1.0)</f>
        <v>1</v>
      </c>
      <c r="M63" s="3">
        <f>IFERROR(__xludf.DUMMYFUNCTION("""COMPUTED_VALUE"""),1.0)</f>
        <v>1</v>
      </c>
      <c r="N63" s="3">
        <f>IFERROR(__xludf.DUMMYFUNCTION("""COMPUTED_VALUE"""),0.0)</f>
        <v>0</v>
      </c>
      <c r="O63" s="3">
        <f>IFERROR(__xludf.DUMMYFUNCTION("""COMPUTED_VALUE"""),5.0)</f>
        <v>5</v>
      </c>
      <c r="P63" s="3">
        <f>IFERROR(__xludf.DUMMYFUNCTION("""COMPUTED_VALUE"""),1.0)</f>
        <v>1</v>
      </c>
      <c r="Q63" s="3">
        <f>IFERROR(__xludf.DUMMYFUNCTION("""COMPUTED_VALUE"""),1.0)</f>
        <v>1</v>
      </c>
      <c r="S63" s="3">
        <v>1.0</v>
      </c>
      <c r="T63" s="3">
        <v>0.0</v>
      </c>
      <c r="U63" s="3">
        <v>1.0</v>
      </c>
      <c r="V63" s="3">
        <v>5.0</v>
      </c>
      <c r="W63" s="3">
        <v>0.0</v>
      </c>
      <c r="X63" s="3">
        <v>1.0</v>
      </c>
      <c r="Y63" s="3">
        <v>1.0</v>
      </c>
      <c r="Z63" s="3">
        <v>0.0</v>
      </c>
      <c r="AA63" s="3">
        <v>1.0</v>
      </c>
      <c r="AB63" s="3">
        <v>0.0</v>
      </c>
      <c r="AC63" s="3">
        <v>1.0</v>
      </c>
      <c r="AD63" s="3">
        <v>1.0</v>
      </c>
      <c r="AE63" s="3">
        <v>0.0</v>
      </c>
      <c r="AF63" s="3">
        <v>5.0</v>
      </c>
      <c r="AG63" s="3">
        <v>1.0</v>
      </c>
      <c r="AH63" s="3">
        <v>1.0</v>
      </c>
    </row>
    <row r="64">
      <c r="A64" s="2" t="s">
        <v>17</v>
      </c>
      <c r="B64" s="3">
        <f>IFERROR(__xludf.DUMMYFUNCTION("split(A64,""{,}"")"),1.0)</f>
        <v>1</v>
      </c>
      <c r="C64" s="3">
        <f>IFERROR(__xludf.DUMMYFUNCTION("""COMPUTED_VALUE"""),6.0)</f>
        <v>6</v>
      </c>
      <c r="D64" s="3">
        <f>IFERROR(__xludf.DUMMYFUNCTION("""COMPUTED_VALUE"""),0.0)</f>
        <v>0</v>
      </c>
      <c r="E64" s="3">
        <f>IFERROR(__xludf.DUMMYFUNCTION("""COMPUTED_VALUE"""),0.0)</f>
        <v>0</v>
      </c>
      <c r="F64" s="3">
        <f>IFERROR(__xludf.DUMMYFUNCTION("""COMPUTED_VALUE"""),0.0)</f>
        <v>0</v>
      </c>
      <c r="G64" s="3">
        <f>IFERROR(__xludf.DUMMYFUNCTION("""COMPUTED_VALUE"""),0.0)</f>
        <v>0</v>
      </c>
      <c r="H64" s="3">
        <f>IFERROR(__xludf.DUMMYFUNCTION("""COMPUTED_VALUE"""),0.0)</f>
        <v>0</v>
      </c>
      <c r="I64" s="3">
        <f>IFERROR(__xludf.DUMMYFUNCTION("""COMPUTED_VALUE"""),0.0)</f>
        <v>0</v>
      </c>
      <c r="J64" s="3">
        <f>IFERROR(__xludf.DUMMYFUNCTION("""COMPUTED_VALUE"""),0.0)</f>
        <v>0</v>
      </c>
      <c r="K64" s="3">
        <f>IFERROR(__xludf.DUMMYFUNCTION("""COMPUTED_VALUE"""),0.0)</f>
        <v>0</v>
      </c>
      <c r="L64" s="3">
        <f>IFERROR(__xludf.DUMMYFUNCTION("""COMPUTED_VALUE"""),0.0)</f>
        <v>0</v>
      </c>
      <c r="M64" s="3">
        <f>IFERROR(__xludf.DUMMYFUNCTION("""COMPUTED_VALUE"""),0.0)</f>
        <v>0</v>
      </c>
      <c r="N64" s="3">
        <f>IFERROR(__xludf.DUMMYFUNCTION("""COMPUTED_VALUE"""),0.0)</f>
        <v>0</v>
      </c>
      <c r="O64" s="3">
        <f>IFERROR(__xludf.DUMMYFUNCTION("""COMPUTED_VALUE"""),0.0)</f>
        <v>0</v>
      </c>
      <c r="P64" s="3">
        <f>IFERROR(__xludf.DUMMYFUNCTION("""COMPUTED_VALUE"""),3.0)</f>
        <v>3</v>
      </c>
      <c r="Q64" s="3">
        <f>IFERROR(__xludf.DUMMYFUNCTION("""COMPUTED_VALUE"""),1.0)</f>
        <v>1</v>
      </c>
      <c r="S64" s="3">
        <v>1.0</v>
      </c>
      <c r="T64" s="3">
        <v>6.0</v>
      </c>
      <c r="U64" s="3">
        <v>0.0</v>
      </c>
      <c r="V64" s="3">
        <v>0.0</v>
      </c>
      <c r="W64" s="3">
        <v>0.0</v>
      </c>
      <c r="X64" s="3">
        <v>0.0</v>
      </c>
      <c r="Y64" s="3">
        <v>0.0</v>
      </c>
      <c r="Z64" s="3">
        <v>0.0</v>
      </c>
      <c r="AA64" s="3">
        <v>0.0</v>
      </c>
      <c r="AB64" s="3">
        <v>0.0</v>
      </c>
      <c r="AC64" s="3">
        <v>0.0</v>
      </c>
      <c r="AD64" s="3">
        <v>0.0</v>
      </c>
      <c r="AE64" s="3">
        <v>0.0</v>
      </c>
      <c r="AF64" s="3">
        <v>0.0</v>
      </c>
      <c r="AG64" s="3">
        <v>3.0</v>
      </c>
      <c r="AH64" s="3">
        <v>1.0</v>
      </c>
    </row>
    <row r="65">
      <c r="A65" s="2" t="s">
        <v>3</v>
      </c>
      <c r="B65" s="3">
        <f>IFERROR(__xludf.DUMMYFUNCTION("split(A65,""{,}"")"),1.0)</f>
        <v>1</v>
      </c>
      <c r="C65" s="3">
        <f>IFERROR(__xludf.DUMMYFUNCTION("""COMPUTED_VALUE"""),1.0)</f>
        <v>1</v>
      </c>
      <c r="D65" s="3">
        <f>IFERROR(__xludf.DUMMYFUNCTION("""COMPUTED_VALUE"""),1.0)</f>
        <v>1</v>
      </c>
      <c r="E65" s="3">
        <f>IFERROR(__xludf.DUMMYFUNCTION("""COMPUTED_VALUE"""),1.0)</f>
        <v>1</v>
      </c>
      <c r="F65" s="3">
        <f>IFERROR(__xludf.DUMMYFUNCTION("""COMPUTED_VALUE"""),1.0)</f>
        <v>1</v>
      </c>
      <c r="G65" s="3">
        <f>IFERROR(__xludf.DUMMYFUNCTION("""COMPUTED_VALUE"""),1.0)</f>
        <v>1</v>
      </c>
      <c r="H65" s="3">
        <f>IFERROR(__xludf.DUMMYFUNCTION("""COMPUTED_VALUE"""),1.0)</f>
        <v>1</v>
      </c>
      <c r="I65" s="3">
        <f>IFERROR(__xludf.DUMMYFUNCTION("""COMPUTED_VALUE"""),1.0)</f>
        <v>1</v>
      </c>
      <c r="J65" s="3">
        <f>IFERROR(__xludf.DUMMYFUNCTION("""COMPUTED_VALUE"""),1.0)</f>
        <v>1</v>
      </c>
      <c r="K65" s="3">
        <f>IFERROR(__xludf.DUMMYFUNCTION("""COMPUTED_VALUE"""),1.0)</f>
        <v>1</v>
      </c>
      <c r="L65" s="3">
        <f>IFERROR(__xludf.DUMMYFUNCTION("""COMPUTED_VALUE"""),1.0)</f>
        <v>1</v>
      </c>
      <c r="M65" s="3">
        <f>IFERROR(__xludf.DUMMYFUNCTION("""COMPUTED_VALUE"""),1.0)</f>
        <v>1</v>
      </c>
      <c r="N65" s="3">
        <f>IFERROR(__xludf.DUMMYFUNCTION("""COMPUTED_VALUE"""),1.0)</f>
        <v>1</v>
      </c>
      <c r="O65" s="3">
        <f>IFERROR(__xludf.DUMMYFUNCTION("""COMPUTED_VALUE"""),1.0)</f>
        <v>1</v>
      </c>
      <c r="P65" s="3">
        <f>IFERROR(__xludf.DUMMYFUNCTION("""COMPUTED_VALUE"""),1.0)</f>
        <v>1</v>
      </c>
      <c r="Q65" s="3">
        <f>IFERROR(__xludf.DUMMYFUNCTION("""COMPUTED_VALUE"""),1.0)</f>
        <v>1</v>
      </c>
      <c r="S65" s="3">
        <v>1.0</v>
      </c>
      <c r="T65" s="3">
        <v>1.0</v>
      </c>
      <c r="U65" s="3">
        <v>1.0</v>
      </c>
      <c r="V65" s="3">
        <v>1.0</v>
      </c>
      <c r="W65" s="3">
        <v>1.0</v>
      </c>
      <c r="X65" s="3">
        <v>1.0</v>
      </c>
      <c r="Y65" s="3">
        <v>1.0</v>
      </c>
      <c r="Z65" s="3">
        <v>1.0</v>
      </c>
      <c r="AA65" s="3">
        <v>1.0</v>
      </c>
      <c r="AB65" s="3">
        <v>1.0</v>
      </c>
      <c r="AC65" s="3">
        <v>1.0</v>
      </c>
      <c r="AD65" s="3">
        <v>1.0</v>
      </c>
      <c r="AE65" s="3">
        <v>1.0</v>
      </c>
      <c r="AF65" s="3">
        <v>1.0</v>
      </c>
      <c r="AG65" s="3">
        <v>1.0</v>
      </c>
      <c r="AH65" s="3">
        <v>1.0</v>
      </c>
    </row>
    <row r="67">
      <c r="A67" s="2">
        <v>4.1</v>
      </c>
    </row>
    <row r="68">
      <c r="A68" s="2" t="s">
        <v>3</v>
      </c>
      <c r="B68" s="3">
        <f>IFERROR(__xludf.DUMMYFUNCTION("split(A68,""{,}"")"),1.0)</f>
        <v>1</v>
      </c>
      <c r="C68" s="3">
        <f>IFERROR(__xludf.DUMMYFUNCTION("""COMPUTED_VALUE"""),1.0)</f>
        <v>1</v>
      </c>
      <c r="D68" s="3">
        <f>IFERROR(__xludf.DUMMYFUNCTION("""COMPUTED_VALUE"""),1.0)</f>
        <v>1</v>
      </c>
      <c r="E68" s="3">
        <f>IFERROR(__xludf.DUMMYFUNCTION("""COMPUTED_VALUE"""),1.0)</f>
        <v>1</v>
      </c>
      <c r="F68" s="3">
        <f>IFERROR(__xludf.DUMMYFUNCTION("""COMPUTED_VALUE"""),1.0)</f>
        <v>1</v>
      </c>
      <c r="G68" s="3">
        <f>IFERROR(__xludf.DUMMYFUNCTION("""COMPUTED_VALUE"""),1.0)</f>
        <v>1</v>
      </c>
      <c r="H68" s="3">
        <f>IFERROR(__xludf.DUMMYFUNCTION("""COMPUTED_VALUE"""),1.0)</f>
        <v>1</v>
      </c>
      <c r="I68" s="3">
        <f>IFERROR(__xludf.DUMMYFUNCTION("""COMPUTED_VALUE"""),1.0)</f>
        <v>1</v>
      </c>
      <c r="J68" s="3">
        <f>IFERROR(__xludf.DUMMYFUNCTION("""COMPUTED_VALUE"""),1.0)</f>
        <v>1</v>
      </c>
      <c r="K68" s="3">
        <f>IFERROR(__xludf.DUMMYFUNCTION("""COMPUTED_VALUE"""),1.0)</f>
        <v>1</v>
      </c>
      <c r="L68" s="3">
        <f>IFERROR(__xludf.DUMMYFUNCTION("""COMPUTED_VALUE"""),1.0)</f>
        <v>1</v>
      </c>
      <c r="M68" s="3">
        <f>IFERROR(__xludf.DUMMYFUNCTION("""COMPUTED_VALUE"""),1.0)</f>
        <v>1</v>
      </c>
      <c r="N68" s="3">
        <f>IFERROR(__xludf.DUMMYFUNCTION("""COMPUTED_VALUE"""),1.0)</f>
        <v>1</v>
      </c>
      <c r="O68" s="3">
        <f>IFERROR(__xludf.DUMMYFUNCTION("""COMPUTED_VALUE"""),1.0)</f>
        <v>1</v>
      </c>
      <c r="P68" s="3">
        <f>IFERROR(__xludf.DUMMYFUNCTION("""COMPUTED_VALUE"""),1.0)</f>
        <v>1</v>
      </c>
      <c r="Q68" s="3">
        <f>IFERROR(__xludf.DUMMYFUNCTION("""COMPUTED_VALUE"""),1.0)</f>
        <v>1</v>
      </c>
      <c r="S68" s="3">
        <v>1.0</v>
      </c>
      <c r="T68" s="3">
        <v>1.0</v>
      </c>
      <c r="U68" s="3">
        <v>1.0</v>
      </c>
      <c r="V68" s="3">
        <v>1.0</v>
      </c>
      <c r="W68" s="3">
        <v>1.0</v>
      </c>
      <c r="X68" s="3">
        <v>1.0</v>
      </c>
      <c r="Y68" s="3">
        <v>1.0</v>
      </c>
      <c r="Z68" s="3">
        <v>1.0</v>
      </c>
      <c r="AA68" s="3">
        <v>1.0</v>
      </c>
      <c r="AB68" s="3">
        <v>1.0</v>
      </c>
      <c r="AC68" s="3">
        <v>1.0</v>
      </c>
      <c r="AD68" s="3">
        <v>1.0</v>
      </c>
      <c r="AE68" s="3">
        <v>1.0</v>
      </c>
      <c r="AF68" s="3">
        <v>1.0</v>
      </c>
      <c r="AG68" s="3">
        <v>1.0</v>
      </c>
      <c r="AH68" s="3">
        <v>1.0</v>
      </c>
    </row>
    <row r="69">
      <c r="A69" s="2" t="s">
        <v>74</v>
      </c>
      <c r="B69" s="3">
        <f>IFERROR(__xludf.DUMMYFUNCTION("split(A69,""{,}"")"),1.0)</f>
        <v>1</v>
      </c>
      <c r="C69" s="3">
        <f>IFERROR(__xludf.DUMMYFUNCTION("""COMPUTED_VALUE"""),0.0)</f>
        <v>0</v>
      </c>
      <c r="D69" s="3">
        <f>IFERROR(__xludf.DUMMYFUNCTION("""COMPUTED_VALUE"""),0.0)</f>
        <v>0</v>
      </c>
      <c r="E69" s="3">
        <f>IFERROR(__xludf.DUMMYFUNCTION("""COMPUTED_VALUE"""),0.0)</f>
        <v>0</v>
      </c>
      <c r="F69" s="3">
        <f>IFERROR(__xludf.DUMMYFUNCTION("""COMPUTED_VALUE"""),0.0)</f>
        <v>0</v>
      </c>
      <c r="G69" s="3">
        <f>IFERROR(__xludf.DUMMYFUNCTION("""COMPUTED_VALUE"""),0.0)</f>
        <v>0</v>
      </c>
      <c r="H69" s="3">
        <f>IFERROR(__xludf.DUMMYFUNCTION("""COMPUTED_VALUE"""),1.0)</f>
        <v>1</v>
      </c>
      <c r="I69" s="3">
        <f>IFERROR(__xludf.DUMMYFUNCTION("""COMPUTED_VALUE"""),0.0)</f>
        <v>0</v>
      </c>
      <c r="J69" s="3">
        <f>IFERROR(__xludf.DUMMYFUNCTION("""COMPUTED_VALUE"""),0.0)</f>
        <v>0</v>
      </c>
      <c r="K69" s="3">
        <f>IFERROR(__xludf.DUMMYFUNCTION("""COMPUTED_VALUE"""),4.0)</f>
        <v>4</v>
      </c>
      <c r="L69" s="3">
        <f>IFERROR(__xludf.DUMMYFUNCTION("""COMPUTED_VALUE"""),0.0)</f>
        <v>0</v>
      </c>
      <c r="M69" s="3">
        <f>IFERROR(__xludf.DUMMYFUNCTION("""COMPUTED_VALUE"""),0.0)</f>
        <v>0</v>
      </c>
      <c r="N69" s="3">
        <f>IFERROR(__xludf.DUMMYFUNCTION("""COMPUTED_VALUE"""),1.0)</f>
        <v>1</v>
      </c>
      <c r="O69" s="3">
        <f>IFERROR(__xludf.DUMMYFUNCTION("""COMPUTED_VALUE"""),0.0)</f>
        <v>0</v>
      </c>
      <c r="P69" s="3">
        <f>IFERROR(__xludf.DUMMYFUNCTION("""COMPUTED_VALUE"""),0.0)</f>
        <v>0</v>
      </c>
      <c r="Q69" s="3">
        <f>IFERROR(__xludf.DUMMYFUNCTION("""COMPUTED_VALUE"""),1.0)</f>
        <v>1</v>
      </c>
      <c r="S69" s="3">
        <v>1.0</v>
      </c>
      <c r="T69" s="3">
        <v>0.0</v>
      </c>
      <c r="U69" s="3">
        <v>0.0</v>
      </c>
      <c r="V69" s="3">
        <v>0.0</v>
      </c>
      <c r="W69" s="3">
        <v>0.0</v>
      </c>
      <c r="X69" s="3">
        <v>0.0</v>
      </c>
      <c r="Y69" s="3">
        <v>1.0</v>
      </c>
      <c r="Z69" s="3">
        <v>0.0</v>
      </c>
      <c r="AA69" s="3">
        <v>0.0</v>
      </c>
      <c r="AB69" s="3">
        <v>4.0</v>
      </c>
      <c r="AC69" s="3">
        <v>0.0</v>
      </c>
      <c r="AD69" s="3">
        <v>0.0</v>
      </c>
      <c r="AE69" s="3">
        <v>1.0</v>
      </c>
      <c r="AF69" s="3">
        <v>0.0</v>
      </c>
      <c r="AG69" s="3">
        <v>0.0</v>
      </c>
      <c r="AH69" s="3">
        <v>1.0</v>
      </c>
    </row>
    <row r="70">
      <c r="A70" s="2" t="s">
        <v>75</v>
      </c>
      <c r="B70" s="3">
        <f>IFERROR(__xludf.DUMMYFUNCTION("split(A70,""{,}"")"),1.0)</f>
        <v>1</v>
      </c>
      <c r="C70" s="3">
        <f>IFERROR(__xludf.DUMMYFUNCTION("""COMPUTED_VALUE"""),5.0)</f>
        <v>5</v>
      </c>
      <c r="D70" s="3">
        <f>IFERROR(__xludf.DUMMYFUNCTION("""COMPUTED_VALUE"""),1.0)</f>
        <v>1</v>
      </c>
      <c r="E70" s="3">
        <f>IFERROR(__xludf.DUMMYFUNCTION("""COMPUTED_VALUE"""),0.0)</f>
        <v>0</v>
      </c>
      <c r="F70" s="3">
        <f>IFERROR(__xludf.DUMMYFUNCTION("""COMPUTED_VALUE"""),1.0)</f>
        <v>1</v>
      </c>
      <c r="G70" s="3">
        <f>IFERROR(__xludf.DUMMYFUNCTION("""COMPUTED_VALUE"""),0.0)</f>
        <v>0</v>
      </c>
      <c r="H70" s="3">
        <f>IFERROR(__xludf.DUMMYFUNCTION("""COMPUTED_VALUE"""),1.0)</f>
        <v>1</v>
      </c>
      <c r="I70" s="3">
        <f>IFERROR(__xludf.DUMMYFUNCTION("""COMPUTED_VALUE"""),0.0)</f>
        <v>0</v>
      </c>
      <c r="J70" s="3">
        <f>IFERROR(__xludf.DUMMYFUNCTION("""COMPUTED_VALUE"""),1.0)</f>
        <v>1</v>
      </c>
      <c r="K70" s="3">
        <f>IFERROR(__xludf.DUMMYFUNCTION("""COMPUTED_VALUE"""),5.0)</f>
        <v>5</v>
      </c>
      <c r="L70" s="3">
        <f>IFERROR(__xludf.DUMMYFUNCTION("""COMPUTED_VALUE"""),1.0)</f>
        <v>1</v>
      </c>
      <c r="M70" s="3">
        <f>IFERROR(__xludf.DUMMYFUNCTION("""COMPUTED_VALUE"""),0.0)</f>
        <v>0</v>
      </c>
      <c r="N70" s="3">
        <f>IFERROR(__xludf.DUMMYFUNCTION("""COMPUTED_VALUE"""),1.0)</f>
        <v>1</v>
      </c>
      <c r="O70" s="3">
        <f>IFERROR(__xludf.DUMMYFUNCTION("""COMPUTED_VALUE"""),0.0)</f>
        <v>0</v>
      </c>
      <c r="P70" s="3">
        <f>IFERROR(__xludf.DUMMYFUNCTION("""COMPUTED_VALUE"""),0.0)</f>
        <v>0</v>
      </c>
      <c r="Q70" s="3">
        <f>IFERROR(__xludf.DUMMYFUNCTION("""COMPUTED_VALUE"""),1.0)</f>
        <v>1</v>
      </c>
      <c r="S70" s="3">
        <v>1.0</v>
      </c>
      <c r="T70" s="3">
        <v>5.0</v>
      </c>
      <c r="U70" s="3">
        <v>1.0</v>
      </c>
      <c r="V70" s="3">
        <v>0.0</v>
      </c>
      <c r="W70" s="3">
        <v>1.0</v>
      </c>
      <c r="X70" s="3">
        <v>0.0</v>
      </c>
      <c r="Y70" s="3">
        <v>1.0</v>
      </c>
      <c r="Z70" s="3">
        <v>0.0</v>
      </c>
      <c r="AA70" s="3">
        <v>1.0</v>
      </c>
      <c r="AB70" s="3">
        <v>5.0</v>
      </c>
      <c r="AC70" s="3">
        <v>1.0</v>
      </c>
      <c r="AD70" s="3">
        <v>0.0</v>
      </c>
      <c r="AE70" s="3">
        <v>1.0</v>
      </c>
      <c r="AF70" s="3">
        <v>0.0</v>
      </c>
      <c r="AG70" s="3">
        <v>0.0</v>
      </c>
      <c r="AH70" s="3">
        <v>1.0</v>
      </c>
    </row>
    <row r="71">
      <c r="A71" s="2" t="s">
        <v>76</v>
      </c>
      <c r="B71" s="3">
        <f>IFERROR(__xludf.DUMMYFUNCTION("split(A71,""{,}"")"),1.0)</f>
        <v>1</v>
      </c>
      <c r="C71" s="3">
        <f>IFERROR(__xludf.DUMMYFUNCTION("""COMPUTED_VALUE"""),0.0)</f>
        <v>0</v>
      </c>
      <c r="D71" s="3">
        <f>IFERROR(__xludf.DUMMYFUNCTION("""COMPUTED_VALUE"""),1.0)</f>
        <v>1</v>
      </c>
      <c r="E71" s="3">
        <f>IFERROR(__xludf.DUMMYFUNCTION("""COMPUTED_VALUE"""),0.0)</f>
        <v>0</v>
      </c>
      <c r="F71" s="3">
        <f>IFERROR(__xludf.DUMMYFUNCTION("""COMPUTED_VALUE"""),0.0)</f>
        <v>0</v>
      </c>
      <c r="G71" s="3">
        <f>IFERROR(__xludf.DUMMYFUNCTION("""COMPUTED_VALUE"""),0.0)</f>
        <v>0</v>
      </c>
      <c r="H71" s="3">
        <f>IFERROR(__xludf.DUMMYFUNCTION("""COMPUTED_VALUE"""),0.0)</f>
        <v>0</v>
      </c>
      <c r="I71" s="3">
        <f>IFERROR(__xludf.DUMMYFUNCTION("""COMPUTED_VALUE"""),0.0)</f>
        <v>0</v>
      </c>
      <c r="J71" s="3">
        <f>IFERROR(__xludf.DUMMYFUNCTION("""COMPUTED_VALUE"""),1.0)</f>
        <v>1</v>
      </c>
      <c r="K71" s="3">
        <f>IFERROR(__xludf.DUMMYFUNCTION("""COMPUTED_VALUE"""),0.0)</f>
        <v>0</v>
      </c>
      <c r="L71" s="3">
        <f>IFERROR(__xludf.DUMMYFUNCTION("""COMPUTED_VALUE"""),0.0)</f>
        <v>0</v>
      </c>
      <c r="M71" s="3">
        <f>IFERROR(__xludf.DUMMYFUNCTION("""COMPUTED_VALUE"""),0.0)</f>
        <v>0</v>
      </c>
      <c r="N71" s="3">
        <f>IFERROR(__xludf.DUMMYFUNCTION("""COMPUTED_VALUE"""),2.0)</f>
        <v>2</v>
      </c>
      <c r="O71" s="3">
        <f>IFERROR(__xludf.DUMMYFUNCTION("""COMPUTED_VALUE"""),0.0)</f>
        <v>0</v>
      </c>
      <c r="P71" s="3">
        <f>IFERROR(__xludf.DUMMYFUNCTION("""COMPUTED_VALUE"""),0.0)</f>
        <v>0</v>
      </c>
      <c r="Q71" s="3">
        <f>IFERROR(__xludf.DUMMYFUNCTION("""COMPUTED_VALUE"""),1.0)</f>
        <v>1</v>
      </c>
      <c r="S71" s="3">
        <v>1.0</v>
      </c>
      <c r="T71" s="3">
        <v>0.0</v>
      </c>
      <c r="U71" s="3">
        <v>1.0</v>
      </c>
      <c r="V71" s="3">
        <v>0.0</v>
      </c>
      <c r="W71" s="2">
        <v>4.0</v>
      </c>
      <c r="X71" s="3">
        <v>0.0</v>
      </c>
      <c r="Y71" s="3">
        <v>0.0</v>
      </c>
      <c r="Z71" s="2">
        <v>4.0</v>
      </c>
      <c r="AA71" s="3">
        <v>1.0</v>
      </c>
      <c r="AB71" s="3">
        <v>0.0</v>
      </c>
      <c r="AC71" s="3">
        <v>0.0</v>
      </c>
      <c r="AD71" s="3">
        <v>0.0</v>
      </c>
      <c r="AE71" s="3">
        <v>2.0</v>
      </c>
      <c r="AF71" s="3">
        <v>0.0</v>
      </c>
      <c r="AG71" s="3">
        <v>0.0</v>
      </c>
      <c r="AH71" s="3">
        <v>1.0</v>
      </c>
    </row>
    <row r="72">
      <c r="A72" s="2" t="s">
        <v>77</v>
      </c>
      <c r="B72" s="3">
        <f>IFERROR(__xludf.DUMMYFUNCTION("split(A72,""{,}"")"),1.0)</f>
        <v>1</v>
      </c>
      <c r="C72" s="3">
        <f>IFERROR(__xludf.DUMMYFUNCTION("""COMPUTED_VALUE"""),0.0)</f>
        <v>0</v>
      </c>
      <c r="D72" s="3">
        <f>IFERROR(__xludf.DUMMYFUNCTION("""COMPUTED_VALUE"""),1.0)</f>
        <v>1</v>
      </c>
      <c r="E72" s="3">
        <f>IFERROR(__xludf.DUMMYFUNCTION("""COMPUTED_VALUE"""),1.0)</f>
        <v>1</v>
      </c>
      <c r="F72" s="3">
        <f>IFERROR(__xludf.DUMMYFUNCTION("""COMPUTED_VALUE"""),1.0)</f>
        <v>1</v>
      </c>
      <c r="G72" s="3">
        <f>IFERROR(__xludf.DUMMYFUNCTION("""COMPUTED_VALUE"""),1.0)</f>
        <v>1</v>
      </c>
      <c r="H72" s="3">
        <f>IFERROR(__xludf.DUMMYFUNCTION("""COMPUTED_VALUE"""),0.0)</f>
        <v>0</v>
      </c>
      <c r="I72" s="3">
        <f>IFERROR(__xludf.DUMMYFUNCTION("""COMPUTED_VALUE"""),1.0)</f>
        <v>1</v>
      </c>
      <c r="J72" s="3">
        <f>IFERROR(__xludf.DUMMYFUNCTION("""COMPUTED_VALUE"""),1.0)</f>
        <v>1</v>
      </c>
      <c r="K72" s="3">
        <f>IFERROR(__xludf.DUMMYFUNCTION("""COMPUTED_VALUE"""),0.0)</f>
        <v>0</v>
      </c>
      <c r="L72" s="3">
        <f>IFERROR(__xludf.DUMMYFUNCTION("""COMPUTED_VALUE"""),1.0)</f>
        <v>1</v>
      </c>
      <c r="M72" s="3">
        <f>IFERROR(__xludf.DUMMYFUNCTION("""COMPUTED_VALUE"""),1.0)</f>
        <v>1</v>
      </c>
      <c r="N72" s="3">
        <f>IFERROR(__xludf.DUMMYFUNCTION("""COMPUTED_VALUE"""),1.0)</f>
        <v>1</v>
      </c>
      <c r="O72" s="3">
        <f>IFERROR(__xludf.DUMMYFUNCTION("""COMPUTED_VALUE"""),1.0)</f>
        <v>1</v>
      </c>
      <c r="P72" s="3">
        <f>IFERROR(__xludf.DUMMYFUNCTION("""COMPUTED_VALUE"""),1.0)</f>
        <v>1</v>
      </c>
      <c r="Q72" s="3">
        <f>IFERROR(__xludf.DUMMYFUNCTION("""COMPUTED_VALUE"""),1.0)</f>
        <v>1</v>
      </c>
      <c r="S72" s="3">
        <v>1.0</v>
      </c>
      <c r="T72" s="3">
        <v>0.0</v>
      </c>
      <c r="U72" s="3">
        <v>1.0</v>
      </c>
      <c r="V72" s="3">
        <v>1.0</v>
      </c>
      <c r="W72" s="2">
        <v>0.0</v>
      </c>
      <c r="X72" s="2">
        <v>5.0</v>
      </c>
      <c r="Y72" s="2">
        <v>5.0</v>
      </c>
      <c r="Z72" s="2">
        <v>0.0</v>
      </c>
      <c r="AA72" s="3">
        <v>1.0</v>
      </c>
      <c r="AB72" s="3">
        <v>0.0</v>
      </c>
      <c r="AC72" s="3">
        <v>1.0</v>
      </c>
      <c r="AD72" s="3">
        <v>1.0</v>
      </c>
      <c r="AE72" s="3">
        <v>1.0</v>
      </c>
      <c r="AF72" s="3">
        <v>1.0</v>
      </c>
      <c r="AG72" s="2">
        <v>0.0</v>
      </c>
      <c r="AH72" s="3">
        <v>1.0</v>
      </c>
    </row>
    <row r="73">
      <c r="A73" s="2" t="s">
        <v>70</v>
      </c>
      <c r="B73" s="3">
        <f>IFERROR(__xludf.DUMMYFUNCTION("split(A73,""{,}"")"),1.0)</f>
        <v>1</v>
      </c>
      <c r="C73" s="3">
        <f>IFERROR(__xludf.DUMMYFUNCTION("""COMPUTED_VALUE"""),0.0)</f>
        <v>0</v>
      </c>
      <c r="D73" s="3">
        <f>IFERROR(__xludf.DUMMYFUNCTION("""COMPUTED_VALUE"""),0.0)</f>
        <v>0</v>
      </c>
      <c r="E73" s="3">
        <f>IFERROR(__xludf.DUMMYFUNCTION("""COMPUTED_VALUE"""),0.0)</f>
        <v>0</v>
      </c>
      <c r="F73" s="3">
        <f>IFERROR(__xludf.DUMMYFUNCTION("""COMPUTED_VALUE"""),0.0)</f>
        <v>0</v>
      </c>
      <c r="G73" s="3">
        <f>IFERROR(__xludf.DUMMYFUNCTION("""COMPUTED_VALUE"""),0.0)</f>
        <v>0</v>
      </c>
      <c r="H73" s="3">
        <f>IFERROR(__xludf.DUMMYFUNCTION("""COMPUTED_VALUE"""),0.0)</f>
        <v>0</v>
      </c>
      <c r="I73" s="3">
        <f>IFERROR(__xludf.DUMMYFUNCTION("""COMPUTED_VALUE"""),0.0)</f>
        <v>0</v>
      </c>
      <c r="J73" s="3">
        <f>IFERROR(__xludf.DUMMYFUNCTION("""COMPUTED_VALUE"""),0.0)</f>
        <v>0</v>
      </c>
      <c r="K73" s="3">
        <f>IFERROR(__xludf.DUMMYFUNCTION("""COMPUTED_VALUE"""),0.0)</f>
        <v>0</v>
      </c>
      <c r="L73" s="3">
        <f>IFERROR(__xludf.DUMMYFUNCTION("""COMPUTED_VALUE"""),5.0)</f>
        <v>5</v>
      </c>
      <c r="M73" s="3">
        <f>IFERROR(__xludf.DUMMYFUNCTION("""COMPUTED_VALUE"""),0.0)</f>
        <v>0</v>
      </c>
      <c r="N73" s="3">
        <f>IFERROR(__xludf.DUMMYFUNCTION("""COMPUTED_VALUE"""),0.0)</f>
        <v>0</v>
      </c>
      <c r="O73" s="3">
        <f>IFERROR(__xludf.DUMMYFUNCTION("""COMPUTED_VALUE"""),0.0)</f>
        <v>0</v>
      </c>
      <c r="P73" s="3">
        <f>IFERROR(__xludf.DUMMYFUNCTION("""COMPUTED_VALUE"""),0.0)</f>
        <v>0</v>
      </c>
      <c r="Q73" s="3">
        <f>IFERROR(__xludf.DUMMYFUNCTION("""COMPUTED_VALUE"""),1.0)</f>
        <v>1</v>
      </c>
      <c r="S73" s="3">
        <v>1.0</v>
      </c>
      <c r="T73" s="3">
        <v>0.0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0.0</v>
      </c>
      <c r="AA73" s="3">
        <v>0.0</v>
      </c>
      <c r="AB73" s="3">
        <v>0.0</v>
      </c>
      <c r="AC73" s="3">
        <v>5.0</v>
      </c>
      <c r="AD73" s="3">
        <v>0.0</v>
      </c>
      <c r="AE73" s="3">
        <v>0.0</v>
      </c>
      <c r="AF73" s="3">
        <v>0.0</v>
      </c>
      <c r="AG73" s="3">
        <v>0.0</v>
      </c>
      <c r="AH73" s="3">
        <v>1.0</v>
      </c>
    </row>
    <row r="74">
      <c r="A74" s="2" t="s">
        <v>78</v>
      </c>
      <c r="B74" s="3">
        <f>IFERROR(__xludf.DUMMYFUNCTION("split(A74,""{,}"")"),1.0)</f>
        <v>1</v>
      </c>
      <c r="C74" s="3">
        <f>IFERROR(__xludf.DUMMYFUNCTION("""COMPUTED_VALUE"""),1.0)</f>
        <v>1</v>
      </c>
      <c r="D74" s="3">
        <f>IFERROR(__xludf.DUMMYFUNCTION("""COMPUTED_VALUE"""),5.0)</f>
        <v>5</v>
      </c>
      <c r="E74" s="3">
        <f>IFERROR(__xludf.DUMMYFUNCTION("""COMPUTED_VALUE"""),1.0)</f>
        <v>1</v>
      </c>
      <c r="F74" s="3">
        <f>IFERROR(__xludf.DUMMYFUNCTION("""COMPUTED_VALUE"""),0.0)</f>
        <v>0</v>
      </c>
      <c r="G74" s="3">
        <f>IFERROR(__xludf.DUMMYFUNCTION("""COMPUTED_VALUE"""),1.0)</f>
        <v>1</v>
      </c>
      <c r="H74" s="3">
        <f>IFERROR(__xludf.DUMMYFUNCTION("""COMPUTED_VALUE"""),1.0)</f>
        <v>1</v>
      </c>
      <c r="I74" s="3">
        <f>IFERROR(__xludf.DUMMYFUNCTION("""COMPUTED_VALUE"""),0.0)</f>
        <v>0</v>
      </c>
      <c r="J74" s="3">
        <f>IFERROR(__xludf.DUMMYFUNCTION("""COMPUTED_VALUE"""),1.0)</f>
        <v>1</v>
      </c>
      <c r="K74" s="3">
        <f>IFERROR(__xludf.DUMMYFUNCTION("""COMPUTED_VALUE"""),5.0)</f>
        <v>5</v>
      </c>
      <c r="L74" s="3">
        <f>IFERROR(__xludf.DUMMYFUNCTION("""COMPUTED_VALUE"""),1.0)</f>
        <v>1</v>
      </c>
      <c r="M74" s="3">
        <f>IFERROR(__xludf.DUMMYFUNCTION("""COMPUTED_VALUE"""),1.0)</f>
        <v>1</v>
      </c>
      <c r="N74" s="3">
        <f>IFERROR(__xludf.DUMMYFUNCTION("""COMPUTED_VALUE"""),0.0)</f>
        <v>0</v>
      </c>
      <c r="O74" s="3">
        <f>IFERROR(__xludf.DUMMYFUNCTION("""COMPUTED_VALUE"""),5.0)</f>
        <v>5</v>
      </c>
      <c r="P74" s="3">
        <f>IFERROR(__xludf.DUMMYFUNCTION("""COMPUTED_VALUE"""),1.0)</f>
        <v>1</v>
      </c>
      <c r="Q74" s="3">
        <f>IFERROR(__xludf.DUMMYFUNCTION("""COMPUTED_VALUE"""),1.0)</f>
        <v>1</v>
      </c>
      <c r="S74" s="3">
        <v>1.0</v>
      </c>
      <c r="T74" s="3">
        <v>1.0</v>
      </c>
      <c r="U74" s="3">
        <v>5.0</v>
      </c>
      <c r="V74" s="3">
        <v>1.0</v>
      </c>
      <c r="W74" s="3">
        <v>0.0</v>
      </c>
      <c r="X74" s="3">
        <v>1.0</v>
      </c>
      <c r="Y74" s="3">
        <v>1.0</v>
      </c>
      <c r="Z74" s="3">
        <v>0.0</v>
      </c>
      <c r="AA74" s="3">
        <v>1.0</v>
      </c>
      <c r="AB74" s="3">
        <v>5.0</v>
      </c>
      <c r="AC74" s="3">
        <v>1.0</v>
      </c>
      <c r="AD74" s="3">
        <v>1.0</v>
      </c>
      <c r="AE74" s="3">
        <v>0.0</v>
      </c>
      <c r="AF74" s="3">
        <v>5.0</v>
      </c>
      <c r="AG74" s="3">
        <v>1.0</v>
      </c>
      <c r="AH74" s="3">
        <v>1.0</v>
      </c>
    </row>
    <row r="75">
      <c r="A75" s="2" t="s">
        <v>32</v>
      </c>
      <c r="B75" s="3">
        <f>IFERROR(__xludf.DUMMYFUNCTION("split(A75,""{,}"")"),1.0)</f>
        <v>1</v>
      </c>
      <c r="C75" s="3">
        <f>IFERROR(__xludf.DUMMYFUNCTION("""COMPUTED_VALUE"""),0.0)</f>
        <v>0</v>
      </c>
      <c r="D75" s="3">
        <f>IFERROR(__xludf.DUMMYFUNCTION("""COMPUTED_VALUE"""),0.0)</f>
        <v>0</v>
      </c>
      <c r="E75" s="3">
        <f>IFERROR(__xludf.DUMMYFUNCTION("""COMPUTED_VALUE"""),0.0)</f>
        <v>0</v>
      </c>
      <c r="F75" s="3">
        <f>IFERROR(__xludf.DUMMYFUNCTION("""COMPUTED_VALUE"""),0.0)</f>
        <v>0</v>
      </c>
      <c r="G75" s="3">
        <f>IFERROR(__xludf.DUMMYFUNCTION("""COMPUTED_VALUE"""),0.0)</f>
        <v>0</v>
      </c>
      <c r="H75" s="3">
        <f>IFERROR(__xludf.DUMMYFUNCTION("""COMPUTED_VALUE"""),0.0)</f>
        <v>0</v>
      </c>
      <c r="I75" s="3">
        <f>IFERROR(__xludf.DUMMYFUNCTION("""COMPUTED_VALUE"""),0.0)</f>
        <v>0</v>
      </c>
      <c r="J75" s="3">
        <f>IFERROR(__xludf.DUMMYFUNCTION("""COMPUTED_VALUE"""),0.0)</f>
        <v>0</v>
      </c>
      <c r="K75" s="3">
        <f>IFERROR(__xludf.DUMMYFUNCTION("""COMPUTED_VALUE"""),0.0)</f>
        <v>0</v>
      </c>
      <c r="L75" s="3">
        <f>IFERROR(__xludf.DUMMYFUNCTION("""COMPUTED_VALUE"""),0.0)</f>
        <v>0</v>
      </c>
      <c r="M75" s="3">
        <f>IFERROR(__xludf.DUMMYFUNCTION("""COMPUTED_VALUE"""),0.0)</f>
        <v>0</v>
      </c>
      <c r="N75" s="3">
        <f>IFERROR(__xludf.DUMMYFUNCTION("""COMPUTED_VALUE"""),0.0)</f>
        <v>0</v>
      </c>
      <c r="O75" s="3">
        <f>IFERROR(__xludf.DUMMYFUNCTION("""COMPUTED_VALUE"""),0.0)</f>
        <v>0</v>
      </c>
      <c r="P75" s="3">
        <f>IFERROR(__xludf.DUMMYFUNCTION("""COMPUTED_VALUE"""),6.0)</f>
        <v>6</v>
      </c>
      <c r="Q75" s="3">
        <f>IFERROR(__xludf.DUMMYFUNCTION("""COMPUTED_VALUE"""),1.0)</f>
        <v>1</v>
      </c>
      <c r="S75" s="3">
        <v>1.0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0.0</v>
      </c>
      <c r="AA75" s="3">
        <v>0.0</v>
      </c>
      <c r="AB75" s="3">
        <v>0.0</v>
      </c>
      <c r="AC75" s="3">
        <v>0.0</v>
      </c>
      <c r="AD75" s="3">
        <v>0.0</v>
      </c>
      <c r="AE75" s="3">
        <v>0.0</v>
      </c>
      <c r="AF75" s="3">
        <v>0.0</v>
      </c>
      <c r="AG75" s="3">
        <v>6.0</v>
      </c>
      <c r="AH75" s="3">
        <v>1.0</v>
      </c>
    </row>
    <row r="76">
      <c r="A76" s="2" t="s">
        <v>3</v>
      </c>
      <c r="B76" s="3">
        <f>IFERROR(__xludf.DUMMYFUNCTION("split(A76,""{,}"")"),1.0)</f>
        <v>1</v>
      </c>
      <c r="C76" s="3">
        <f>IFERROR(__xludf.DUMMYFUNCTION("""COMPUTED_VALUE"""),1.0)</f>
        <v>1</v>
      </c>
      <c r="D76" s="3">
        <f>IFERROR(__xludf.DUMMYFUNCTION("""COMPUTED_VALUE"""),1.0)</f>
        <v>1</v>
      </c>
      <c r="E76" s="3">
        <f>IFERROR(__xludf.DUMMYFUNCTION("""COMPUTED_VALUE"""),1.0)</f>
        <v>1</v>
      </c>
      <c r="F76" s="3">
        <f>IFERROR(__xludf.DUMMYFUNCTION("""COMPUTED_VALUE"""),1.0)</f>
        <v>1</v>
      </c>
      <c r="G76" s="3">
        <f>IFERROR(__xludf.DUMMYFUNCTION("""COMPUTED_VALUE"""),1.0)</f>
        <v>1</v>
      </c>
      <c r="H76" s="3">
        <f>IFERROR(__xludf.DUMMYFUNCTION("""COMPUTED_VALUE"""),1.0)</f>
        <v>1</v>
      </c>
      <c r="I76" s="3">
        <f>IFERROR(__xludf.DUMMYFUNCTION("""COMPUTED_VALUE"""),1.0)</f>
        <v>1</v>
      </c>
      <c r="J76" s="3">
        <f>IFERROR(__xludf.DUMMYFUNCTION("""COMPUTED_VALUE"""),1.0)</f>
        <v>1</v>
      </c>
      <c r="K76" s="3">
        <f>IFERROR(__xludf.DUMMYFUNCTION("""COMPUTED_VALUE"""),1.0)</f>
        <v>1</v>
      </c>
      <c r="L76" s="3">
        <f>IFERROR(__xludf.DUMMYFUNCTION("""COMPUTED_VALUE"""),1.0)</f>
        <v>1</v>
      </c>
      <c r="M76" s="3">
        <f>IFERROR(__xludf.DUMMYFUNCTION("""COMPUTED_VALUE"""),1.0)</f>
        <v>1</v>
      </c>
      <c r="N76" s="3">
        <f>IFERROR(__xludf.DUMMYFUNCTION("""COMPUTED_VALUE"""),1.0)</f>
        <v>1</v>
      </c>
      <c r="O76" s="3">
        <f>IFERROR(__xludf.DUMMYFUNCTION("""COMPUTED_VALUE"""),1.0)</f>
        <v>1</v>
      </c>
      <c r="P76" s="3">
        <f>IFERROR(__xludf.DUMMYFUNCTION("""COMPUTED_VALUE"""),1.0)</f>
        <v>1</v>
      </c>
      <c r="Q76" s="3">
        <f>IFERROR(__xludf.DUMMYFUNCTION("""COMPUTED_VALUE"""),1.0)</f>
        <v>1</v>
      </c>
      <c r="S76" s="3">
        <v>1.0</v>
      </c>
      <c r="T76" s="3">
        <v>1.0</v>
      </c>
      <c r="U76" s="3">
        <v>1.0</v>
      </c>
      <c r="V76" s="3">
        <v>1.0</v>
      </c>
      <c r="W76" s="3">
        <v>1.0</v>
      </c>
      <c r="X76" s="3">
        <v>1.0</v>
      </c>
      <c r="Y76" s="3">
        <v>1.0</v>
      </c>
      <c r="Z76" s="3">
        <v>1.0</v>
      </c>
      <c r="AA76" s="3">
        <v>1.0</v>
      </c>
      <c r="AB76" s="3">
        <v>1.0</v>
      </c>
      <c r="AC76" s="3">
        <v>1.0</v>
      </c>
      <c r="AD76" s="3">
        <v>1.0</v>
      </c>
      <c r="AE76" s="3">
        <v>1.0</v>
      </c>
      <c r="AF76" s="3">
        <v>1.0</v>
      </c>
      <c r="AG76" s="3">
        <v>1.0</v>
      </c>
      <c r="AH76" s="3">
        <v>1.0</v>
      </c>
    </row>
    <row r="77">
      <c r="A77" s="2" t="s">
        <v>33</v>
      </c>
    </row>
    <row r="78">
      <c r="A78" s="2" t="s">
        <v>53</v>
      </c>
    </row>
    <row r="79">
      <c r="A79" s="2" t="s">
        <v>3</v>
      </c>
      <c r="B79" s="3">
        <f>IFERROR(__xludf.DUMMYFUNCTION("split(A79,""{,}"")"),1.0)</f>
        <v>1</v>
      </c>
      <c r="C79" s="3">
        <f>IFERROR(__xludf.DUMMYFUNCTION("""COMPUTED_VALUE"""),1.0)</f>
        <v>1</v>
      </c>
      <c r="D79" s="3">
        <f>IFERROR(__xludf.DUMMYFUNCTION("""COMPUTED_VALUE"""),1.0)</f>
        <v>1</v>
      </c>
      <c r="E79" s="3">
        <f>IFERROR(__xludf.DUMMYFUNCTION("""COMPUTED_VALUE"""),1.0)</f>
        <v>1</v>
      </c>
      <c r="F79" s="3">
        <f>IFERROR(__xludf.DUMMYFUNCTION("""COMPUTED_VALUE"""),1.0)</f>
        <v>1</v>
      </c>
      <c r="G79" s="3">
        <f>IFERROR(__xludf.DUMMYFUNCTION("""COMPUTED_VALUE"""),1.0)</f>
        <v>1</v>
      </c>
      <c r="H79" s="3">
        <f>IFERROR(__xludf.DUMMYFUNCTION("""COMPUTED_VALUE"""),1.0)</f>
        <v>1</v>
      </c>
      <c r="I79" s="3">
        <f>IFERROR(__xludf.DUMMYFUNCTION("""COMPUTED_VALUE"""),1.0)</f>
        <v>1</v>
      </c>
      <c r="J79" s="3">
        <f>IFERROR(__xludf.DUMMYFUNCTION("""COMPUTED_VALUE"""),1.0)</f>
        <v>1</v>
      </c>
      <c r="K79" s="3">
        <f>IFERROR(__xludf.DUMMYFUNCTION("""COMPUTED_VALUE"""),1.0)</f>
        <v>1</v>
      </c>
      <c r="L79" s="3">
        <f>IFERROR(__xludf.DUMMYFUNCTION("""COMPUTED_VALUE"""),1.0)</f>
        <v>1</v>
      </c>
      <c r="M79" s="3">
        <f>IFERROR(__xludf.DUMMYFUNCTION("""COMPUTED_VALUE"""),1.0)</f>
        <v>1</v>
      </c>
      <c r="N79" s="3">
        <f>IFERROR(__xludf.DUMMYFUNCTION("""COMPUTED_VALUE"""),1.0)</f>
        <v>1</v>
      </c>
      <c r="O79" s="3">
        <f>IFERROR(__xludf.DUMMYFUNCTION("""COMPUTED_VALUE"""),1.0)</f>
        <v>1</v>
      </c>
      <c r="P79" s="3">
        <f>IFERROR(__xludf.DUMMYFUNCTION("""COMPUTED_VALUE"""),1.0)</f>
        <v>1</v>
      </c>
      <c r="Q79" s="3">
        <f>IFERROR(__xludf.DUMMYFUNCTION("""COMPUTED_VALUE"""),1.0)</f>
        <v>1</v>
      </c>
      <c r="S79" s="3">
        <v>1.0</v>
      </c>
      <c r="T79" s="3">
        <v>1.0</v>
      </c>
      <c r="U79" s="3">
        <v>1.0</v>
      </c>
      <c r="V79" s="3">
        <v>1.0</v>
      </c>
      <c r="W79" s="3">
        <v>1.0</v>
      </c>
      <c r="X79" s="3">
        <v>1.0</v>
      </c>
      <c r="Y79" s="3">
        <v>1.0</v>
      </c>
      <c r="Z79" s="3">
        <v>1.0</v>
      </c>
      <c r="AA79" s="3">
        <v>1.0</v>
      </c>
      <c r="AB79" s="3">
        <v>1.0</v>
      </c>
      <c r="AC79" s="3">
        <v>1.0</v>
      </c>
      <c r="AD79" s="3">
        <v>1.0</v>
      </c>
      <c r="AE79" s="3">
        <v>1.0</v>
      </c>
      <c r="AF79" s="3">
        <v>1.0</v>
      </c>
      <c r="AG79" s="3">
        <v>1.0</v>
      </c>
      <c r="AH79" s="3">
        <v>1.0</v>
      </c>
    </row>
    <row r="80">
      <c r="A80" s="2" t="s">
        <v>79</v>
      </c>
      <c r="B80" s="3">
        <f>IFERROR(__xludf.DUMMYFUNCTION("split(A80,""{,}"")"),1.0)</f>
        <v>1</v>
      </c>
      <c r="C80" s="3">
        <f>IFERROR(__xludf.DUMMYFUNCTION("""COMPUTED_VALUE"""),0.0)</f>
        <v>0</v>
      </c>
      <c r="D80" s="3">
        <f>IFERROR(__xludf.DUMMYFUNCTION("""COMPUTED_VALUE"""),0.0)</f>
        <v>0</v>
      </c>
      <c r="E80" s="3">
        <f>IFERROR(__xludf.DUMMYFUNCTION("""COMPUTED_VALUE"""),0.0)</f>
        <v>0</v>
      </c>
      <c r="F80" s="3">
        <f>IFERROR(__xludf.DUMMYFUNCTION("""COMPUTED_VALUE"""),0.0)</f>
        <v>0</v>
      </c>
      <c r="G80" s="3">
        <f>IFERROR(__xludf.DUMMYFUNCTION("""COMPUTED_VALUE"""),0.0)</f>
        <v>0</v>
      </c>
      <c r="H80" s="3">
        <f>IFERROR(__xludf.DUMMYFUNCTION("""COMPUTED_VALUE"""),1.0)</f>
        <v>1</v>
      </c>
      <c r="I80" s="3">
        <f>IFERROR(__xludf.DUMMYFUNCTION("""COMPUTED_VALUE"""),0.0)</f>
        <v>0</v>
      </c>
      <c r="J80" s="3">
        <f>IFERROR(__xludf.DUMMYFUNCTION("""COMPUTED_VALUE"""),0.0)</f>
        <v>0</v>
      </c>
      <c r="K80" s="3">
        <f>IFERROR(__xludf.DUMMYFUNCTION("""COMPUTED_VALUE"""),0.0)</f>
        <v>0</v>
      </c>
      <c r="L80" s="3">
        <f>IFERROR(__xludf.DUMMYFUNCTION("""COMPUTED_VALUE"""),0.0)</f>
        <v>0</v>
      </c>
      <c r="M80" s="3">
        <f>IFERROR(__xludf.DUMMYFUNCTION("""COMPUTED_VALUE"""),0.0)</f>
        <v>0</v>
      </c>
      <c r="N80" s="3">
        <f>IFERROR(__xludf.DUMMYFUNCTION("""COMPUTED_VALUE"""),1.0)</f>
        <v>1</v>
      </c>
      <c r="O80" s="3">
        <f>IFERROR(__xludf.DUMMYFUNCTION("""COMPUTED_VALUE"""),0.0)</f>
        <v>0</v>
      </c>
      <c r="P80" s="3">
        <f>IFERROR(__xludf.DUMMYFUNCTION("""COMPUTED_VALUE"""),0.0)</f>
        <v>0</v>
      </c>
      <c r="Q80" s="3">
        <f>IFERROR(__xludf.DUMMYFUNCTION("""COMPUTED_VALUE"""),1.0)</f>
        <v>1</v>
      </c>
      <c r="S80" s="3">
        <v>1.0</v>
      </c>
      <c r="T80" s="2">
        <v>2.0</v>
      </c>
      <c r="U80" s="3">
        <v>0.0</v>
      </c>
      <c r="V80" s="3">
        <v>0.0</v>
      </c>
      <c r="W80" s="3">
        <v>0.0</v>
      </c>
      <c r="X80" s="3">
        <v>0.0</v>
      </c>
      <c r="Y80" s="3">
        <v>1.0</v>
      </c>
      <c r="Z80" s="3">
        <v>0.0</v>
      </c>
      <c r="AA80" s="3">
        <v>0.0</v>
      </c>
      <c r="AB80" s="3">
        <v>0.0</v>
      </c>
      <c r="AC80" s="3">
        <v>0.0</v>
      </c>
      <c r="AD80" s="3">
        <v>0.0</v>
      </c>
      <c r="AE80" s="3">
        <v>1.0</v>
      </c>
      <c r="AF80" s="2">
        <v>1.0</v>
      </c>
      <c r="AG80" s="2">
        <v>4.0</v>
      </c>
      <c r="AH80" s="3">
        <v>1.0</v>
      </c>
    </row>
    <row r="81">
      <c r="A81" s="2" t="s">
        <v>80</v>
      </c>
      <c r="B81" s="3">
        <f>IFERROR(__xludf.DUMMYFUNCTION("split(A81,""{,}"")"),1.0)</f>
        <v>1</v>
      </c>
      <c r="C81" s="3">
        <f>IFERROR(__xludf.DUMMYFUNCTION("""COMPUTED_VALUE"""),5.0)</f>
        <v>5</v>
      </c>
      <c r="D81" s="3">
        <f>IFERROR(__xludf.DUMMYFUNCTION("""COMPUTED_VALUE"""),1.0)</f>
        <v>1</v>
      </c>
      <c r="E81" s="3">
        <f>IFERROR(__xludf.DUMMYFUNCTION("""COMPUTED_VALUE"""),0.0)</f>
        <v>0</v>
      </c>
      <c r="F81" s="3">
        <f>IFERROR(__xludf.DUMMYFUNCTION("""COMPUTED_VALUE"""),1.0)</f>
        <v>1</v>
      </c>
      <c r="G81" s="3">
        <f>IFERROR(__xludf.DUMMYFUNCTION("""COMPUTED_VALUE"""),0.0)</f>
        <v>0</v>
      </c>
      <c r="H81" s="3">
        <f>IFERROR(__xludf.DUMMYFUNCTION("""COMPUTED_VALUE"""),1.0)</f>
        <v>1</v>
      </c>
      <c r="I81" s="3">
        <f>IFERROR(__xludf.DUMMYFUNCTION("""COMPUTED_VALUE"""),0.0)</f>
        <v>0</v>
      </c>
      <c r="J81" s="3">
        <f>IFERROR(__xludf.DUMMYFUNCTION("""COMPUTED_VALUE"""),1.0)</f>
        <v>1</v>
      </c>
      <c r="K81" s="3">
        <f>IFERROR(__xludf.DUMMYFUNCTION("""COMPUTED_VALUE"""),5.0)</f>
        <v>5</v>
      </c>
      <c r="L81" s="3">
        <f>IFERROR(__xludf.DUMMYFUNCTION("""COMPUTED_VALUE"""),1.0)</f>
        <v>1</v>
      </c>
      <c r="M81" s="3">
        <f>IFERROR(__xludf.DUMMYFUNCTION("""COMPUTED_VALUE"""),0.0)</f>
        <v>0</v>
      </c>
      <c r="N81" s="3">
        <f>IFERROR(__xludf.DUMMYFUNCTION("""COMPUTED_VALUE"""),1.0)</f>
        <v>1</v>
      </c>
      <c r="O81" s="3">
        <f>IFERROR(__xludf.DUMMYFUNCTION("""COMPUTED_VALUE"""),0.0)</f>
        <v>0</v>
      </c>
      <c r="P81" s="3">
        <f>IFERROR(__xludf.DUMMYFUNCTION("""COMPUTED_VALUE"""),5.0)</f>
        <v>5</v>
      </c>
      <c r="Q81" s="3">
        <f>IFERROR(__xludf.DUMMYFUNCTION("""COMPUTED_VALUE"""),1.0)</f>
        <v>1</v>
      </c>
      <c r="S81" s="3">
        <v>1.0</v>
      </c>
      <c r="T81" s="3">
        <v>5.0</v>
      </c>
      <c r="U81" s="3">
        <v>1.0</v>
      </c>
      <c r="V81" s="3">
        <v>0.0</v>
      </c>
      <c r="W81" s="3">
        <v>1.0</v>
      </c>
      <c r="X81" s="3">
        <v>0.0</v>
      </c>
      <c r="Y81" s="3">
        <v>1.0</v>
      </c>
      <c r="Z81" s="3">
        <v>0.0</v>
      </c>
      <c r="AA81" s="3">
        <v>1.0</v>
      </c>
      <c r="AB81" s="3">
        <v>5.0</v>
      </c>
      <c r="AC81" s="3">
        <v>1.0</v>
      </c>
      <c r="AD81" s="3">
        <v>0.0</v>
      </c>
      <c r="AE81" s="3">
        <v>1.0</v>
      </c>
      <c r="AF81" s="3">
        <v>0.0</v>
      </c>
      <c r="AG81" s="3">
        <v>5.0</v>
      </c>
      <c r="AH81" s="3">
        <v>1.0</v>
      </c>
    </row>
    <row r="82">
      <c r="A82" s="2" t="s">
        <v>81</v>
      </c>
      <c r="B82" s="3">
        <f>IFERROR(__xludf.DUMMYFUNCTION("split(A82,""{,}"")"),1.0)</f>
        <v>1</v>
      </c>
      <c r="C82" s="3">
        <f>IFERROR(__xludf.DUMMYFUNCTION("""COMPUTED_VALUE"""),0.0)</f>
        <v>0</v>
      </c>
      <c r="D82" s="3">
        <f>IFERROR(__xludf.DUMMYFUNCTION("""COMPUTED_VALUE"""),1.0)</f>
        <v>1</v>
      </c>
      <c r="E82" s="3">
        <f>IFERROR(__xludf.DUMMYFUNCTION("""COMPUTED_VALUE"""),0.0)</f>
        <v>0</v>
      </c>
      <c r="F82" s="3">
        <f>IFERROR(__xludf.DUMMYFUNCTION("""COMPUTED_VALUE"""),0.0)</f>
        <v>0</v>
      </c>
      <c r="G82" s="3">
        <f>IFERROR(__xludf.DUMMYFUNCTION("""COMPUTED_VALUE"""),0.0)</f>
        <v>0</v>
      </c>
      <c r="H82" s="3">
        <f>IFERROR(__xludf.DUMMYFUNCTION("""COMPUTED_VALUE"""),0.0)</f>
        <v>0</v>
      </c>
      <c r="I82" s="3">
        <f>IFERROR(__xludf.DUMMYFUNCTION("""COMPUTED_VALUE"""),0.0)</f>
        <v>0</v>
      </c>
      <c r="J82" s="3">
        <f>IFERROR(__xludf.DUMMYFUNCTION("""COMPUTED_VALUE"""),1.0)</f>
        <v>1</v>
      </c>
      <c r="K82" s="3">
        <f>IFERROR(__xludf.DUMMYFUNCTION("""COMPUTED_VALUE"""),0.0)</f>
        <v>0</v>
      </c>
      <c r="L82" s="3">
        <f>IFERROR(__xludf.DUMMYFUNCTION("""COMPUTED_VALUE"""),0.0)</f>
        <v>0</v>
      </c>
      <c r="M82" s="3">
        <f>IFERROR(__xludf.DUMMYFUNCTION("""COMPUTED_VALUE"""),0.0)</f>
        <v>0</v>
      </c>
      <c r="N82" s="3">
        <f>IFERROR(__xludf.DUMMYFUNCTION("""COMPUTED_VALUE"""),0.0)</f>
        <v>0</v>
      </c>
      <c r="O82" s="3">
        <f>IFERROR(__xludf.DUMMYFUNCTION("""COMPUTED_VALUE"""),0.0)</f>
        <v>0</v>
      </c>
      <c r="P82" s="3">
        <f>IFERROR(__xludf.DUMMYFUNCTION("""COMPUTED_VALUE"""),1.0)</f>
        <v>1</v>
      </c>
      <c r="Q82" s="3">
        <f>IFERROR(__xludf.DUMMYFUNCTION("""COMPUTED_VALUE"""),1.0)</f>
        <v>1</v>
      </c>
      <c r="S82" s="3">
        <v>1.0</v>
      </c>
      <c r="T82" s="2">
        <v>4.0</v>
      </c>
      <c r="U82" s="3">
        <v>1.0</v>
      </c>
      <c r="V82" s="3">
        <v>0.0</v>
      </c>
      <c r="W82" s="3">
        <v>0.0</v>
      </c>
      <c r="X82" s="3">
        <v>0.0</v>
      </c>
      <c r="Y82" s="3">
        <v>0.0</v>
      </c>
      <c r="Z82" s="3">
        <v>0.0</v>
      </c>
      <c r="AA82" s="3">
        <v>1.0</v>
      </c>
      <c r="AB82" s="3">
        <v>0.0</v>
      </c>
      <c r="AC82" s="3">
        <v>0.0</v>
      </c>
      <c r="AD82" s="3">
        <v>0.0</v>
      </c>
      <c r="AE82" s="3">
        <v>0.0</v>
      </c>
      <c r="AF82" s="3">
        <v>0.0</v>
      </c>
      <c r="AG82" s="3">
        <v>1.0</v>
      </c>
      <c r="AH82" s="3">
        <v>1.0</v>
      </c>
    </row>
    <row r="83">
      <c r="A83" s="2" t="s">
        <v>77</v>
      </c>
      <c r="B83" s="3">
        <f>IFERROR(__xludf.DUMMYFUNCTION("split(A83,""{,}"")"),1.0)</f>
        <v>1</v>
      </c>
      <c r="C83" s="3">
        <f>IFERROR(__xludf.DUMMYFUNCTION("""COMPUTED_VALUE"""),0.0)</f>
        <v>0</v>
      </c>
      <c r="D83" s="3">
        <f>IFERROR(__xludf.DUMMYFUNCTION("""COMPUTED_VALUE"""),1.0)</f>
        <v>1</v>
      </c>
      <c r="E83" s="3">
        <f>IFERROR(__xludf.DUMMYFUNCTION("""COMPUTED_VALUE"""),1.0)</f>
        <v>1</v>
      </c>
      <c r="F83" s="3">
        <f>IFERROR(__xludf.DUMMYFUNCTION("""COMPUTED_VALUE"""),1.0)</f>
        <v>1</v>
      </c>
      <c r="G83" s="3">
        <f>IFERROR(__xludf.DUMMYFUNCTION("""COMPUTED_VALUE"""),1.0)</f>
        <v>1</v>
      </c>
      <c r="H83" s="3">
        <f>IFERROR(__xludf.DUMMYFUNCTION("""COMPUTED_VALUE"""),0.0)</f>
        <v>0</v>
      </c>
      <c r="I83" s="3">
        <f>IFERROR(__xludf.DUMMYFUNCTION("""COMPUTED_VALUE"""),1.0)</f>
        <v>1</v>
      </c>
      <c r="J83" s="3">
        <f>IFERROR(__xludf.DUMMYFUNCTION("""COMPUTED_VALUE"""),1.0)</f>
        <v>1</v>
      </c>
      <c r="K83" s="3">
        <f>IFERROR(__xludf.DUMMYFUNCTION("""COMPUTED_VALUE"""),0.0)</f>
        <v>0</v>
      </c>
      <c r="L83" s="3">
        <f>IFERROR(__xludf.DUMMYFUNCTION("""COMPUTED_VALUE"""),1.0)</f>
        <v>1</v>
      </c>
      <c r="M83" s="3">
        <f>IFERROR(__xludf.DUMMYFUNCTION("""COMPUTED_VALUE"""),1.0)</f>
        <v>1</v>
      </c>
      <c r="N83" s="3">
        <f>IFERROR(__xludf.DUMMYFUNCTION("""COMPUTED_VALUE"""),1.0)</f>
        <v>1</v>
      </c>
      <c r="O83" s="3">
        <f>IFERROR(__xludf.DUMMYFUNCTION("""COMPUTED_VALUE"""),1.0)</f>
        <v>1</v>
      </c>
      <c r="P83" s="3">
        <f>IFERROR(__xludf.DUMMYFUNCTION("""COMPUTED_VALUE"""),1.0)</f>
        <v>1</v>
      </c>
      <c r="Q83" s="3">
        <f>IFERROR(__xludf.DUMMYFUNCTION("""COMPUTED_VALUE"""),1.0)</f>
        <v>1</v>
      </c>
      <c r="S83" s="3">
        <v>1.0</v>
      </c>
      <c r="T83" s="3">
        <v>0.0</v>
      </c>
      <c r="U83" s="3">
        <v>1.0</v>
      </c>
      <c r="V83" s="3">
        <v>1.0</v>
      </c>
      <c r="W83" s="3">
        <v>1.0</v>
      </c>
      <c r="X83" s="3">
        <v>1.0</v>
      </c>
      <c r="Y83" s="3">
        <v>0.0</v>
      </c>
      <c r="Z83" s="3">
        <v>1.0</v>
      </c>
      <c r="AA83" s="3">
        <v>1.0</v>
      </c>
      <c r="AB83" s="3">
        <v>0.0</v>
      </c>
      <c r="AC83" s="3">
        <v>1.0</v>
      </c>
      <c r="AD83" s="3">
        <v>1.0</v>
      </c>
      <c r="AE83" s="3">
        <v>1.0</v>
      </c>
      <c r="AF83" s="3">
        <v>1.0</v>
      </c>
      <c r="AG83" s="3">
        <v>1.0</v>
      </c>
      <c r="AH83" s="3">
        <v>1.0</v>
      </c>
    </row>
    <row r="84">
      <c r="A84" s="2" t="s">
        <v>70</v>
      </c>
      <c r="B84" s="3">
        <f>IFERROR(__xludf.DUMMYFUNCTION("split(A84,""{,}"")"),1.0)</f>
        <v>1</v>
      </c>
      <c r="C84" s="3">
        <f>IFERROR(__xludf.DUMMYFUNCTION("""COMPUTED_VALUE"""),0.0)</f>
        <v>0</v>
      </c>
      <c r="D84" s="3">
        <f>IFERROR(__xludf.DUMMYFUNCTION("""COMPUTED_VALUE"""),0.0)</f>
        <v>0</v>
      </c>
      <c r="E84" s="3">
        <f>IFERROR(__xludf.DUMMYFUNCTION("""COMPUTED_VALUE"""),0.0)</f>
        <v>0</v>
      </c>
      <c r="F84" s="3">
        <f>IFERROR(__xludf.DUMMYFUNCTION("""COMPUTED_VALUE"""),0.0)</f>
        <v>0</v>
      </c>
      <c r="G84" s="3">
        <f>IFERROR(__xludf.DUMMYFUNCTION("""COMPUTED_VALUE"""),0.0)</f>
        <v>0</v>
      </c>
      <c r="H84" s="3">
        <f>IFERROR(__xludf.DUMMYFUNCTION("""COMPUTED_VALUE"""),0.0)</f>
        <v>0</v>
      </c>
      <c r="I84" s="3">
        <f>IFERROR(__xludf.DUMMYFUNCTION("""COMPUTED_VALUE"""),0.0)</f>
        <v>0</v>
      </c>
      <c r="J84" s="3">
        <f>IFERROR(__xludf.DUMMYFUNCTION("""COMPUTED_VALUE"""),0.0)</f>
        <v>0</v>
      </c>
      <c r="K84" s="3">
        <f>IFERROR(__xludf.DUMMYFUNCTION("""COMPUTED_VALUE"""),0.0)</f>
        <v>0</v>
      </c>
      <c r="L84" s="3">
        <f>IFERROR(__xludf.DUMMYFUNCTION("""COMPUTED_VALUE"""),5.0)</f>
        <v>5</v>
      </c>
      <c r="M84" s="3">
        <f>IFERROR(__xludf.DUMMYFUNCTION("""COMPUTED_VALUE"""),0.0)</f>
        <v>0</v>
      </c>
      <c r="N84" s="3">
        <f>IFERROR(__xludf.DUMMYFUNCTION("""COMPUTED_VALUE"""),0.0)</f>
        <v>0</v>
      </c>
      <c r="O84" s="3">
        <f>IFERROR(__xludf.DUMMYFUNCTION("""COMPUTED_VALUE"""),0.0)</f>
        <v>0</v>
      </c>
      <c r="P84" s="3">
        <f>IFERROR(__xludf.DUMMYFUNCTION("""COMPUTED_VALUE"""),0.0)</f>
        <v>0</v>
      </c>
      <c r="Q84" s="3">
        <f>IFERROR(__xludf.DUMMYFUNCTION("""COMPUTED_VALUE"""),1.0)</f>
        <v>1</v>
      </c>
      <c r="S84" s="3">
        <v>1.0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3">
        <v>0.0</v>
      </c>
      <c r="Z84" s="3">
        <v>0.0</v>
      </c>
      <c r="AA84" s="3">
        <v>0.0</v>
      </c>
      <c r="AB84" s="3">
        <v>0.0</v>
      </c>
      <c r="AC84" s="3">
        <v>5.0</v>
      </c>
      <c r="AD84" s="3">
        <v>0.0</v>
      </c>
      <c r="AE84" s="3">
        <v>0.0</v>
      </c>
      <c r="AF84" s="3">
        <v>0.0</v>
      </c>
      <c r="AG84" s="2">
        <v>3.0</v>
      </c>
      <c r="AH84" s="3">
        <v>1.0</v>
      </c>
    </row>
    <row r="85">
      <c r="A85" s="2" t="s">
        <v>78</v>
      </c>
      <c r="B85" s="3">
        <f>IFERROR(__xludf.DUMMYFUNCTION("split(A85,""{,}"")"),1.0)</f>
        <v>1</v>
      </c>
      <c r="C85" s="3">
        <f>IFERROR(__xludf.DUMMYFUNCTION("""COMPUTED_VALUE"""),1.0)</f>
        <v>1</v>
      </c>
      <c r="D85" s="3">
        <f>IFERROR(__xludf.DUMMYFUNCTION("""COMPUTED_VALUE"""),5.0)</f>
        <v>5</v>
      </c>
      <c r="E85" s="3">
        <f>IFERROR(__xludf.DUMMYFUNCTION("""COMPUTED_VALUE"""),1.0)</f>
        <v>1</v>
      </c>
      <c r="F85" s="3">
        <f>IFERROR(__xludf.DUMMYFUNCTION("""COMPUTED_VALUE"""),0.0)</f>
        <v>0</v>
      </c>
      <c r="G85" s="3">
        <f>IFERROR(__xludf.DUMMYFUNCTION("""COMPUTED_VALUE"""),1.0)</f>
        <v>1</v>
      </c>
      <c r="H85" s="3">
        <f>IFERROR(__xludf.DUMMYFUNCTION("""COMPUTED_VALUE"""),1.0)</f>
        <v>1</v>
      </c>
      <c r="I85" s="3">
        <f>IFERROR(__xludf.DUMMYFUNCTION("""COMPUTED_VALUE"""),0.0)</f>
        <v>0</v>
      </c>
      <c r="J85" s="3">
        <f>IFERROR(__xludf.DUMMYFUNCTION("""COMPUTED_VALUE"""),1.0)</f>
        <v>1</v>
      </c>
      <c r="K85" s="3">
        <f>IFERROR(__xludf.DUMMYFUNCTION("""COMPUTED_VALUE"""),5.0)</f>
        <v>5</v>
      </c>
      <c r="L85" s="3">
        <f>IFERROR(__xludf.DUMMYFUNCTION("""COMPUTED_VALUE"""),1.0)</f>
        <v>1</v>
      </c>
      <c r="M85" s="3">
        <f>IFERROR(__xludf.DUMMYFUNCTION("""COMPUTED_VALUE"""),1.0)</f>
        <v>1</v>
      </c>
      <c r="N85" s="3">
        <f>IFERROR(__xludf.DUMMYFUNCTION("""COMPUTED_VALUE"""),0.0)</f>
        <v>0</v>
      </c>
      <c r="O85" s="3">
        <f>IFERROR(__xludf.DUMMYFUNCTION("""COMPUTED_VALUE"""),5.0)</f>
        <v>5</v>
      </c>
      <c r="P85" s="3">
        <f>IFERROR(__xludf.DUMMYFUNCTION("""COMPUTED_VALUE"""),1.0)</f>
        <v>1</v>
      </c>
      <c r="Q85" s="3">
        <f>IFERROR(__xludf.DUMMYFUNCTION("""COMPUTED_VALUE"""),1.0)</f>
        <v>1</v>
      </c>
      <c r="S85" s="3">
        <v>1.0</v>
      </c>
      <c r="T85" s="3">
        <v>1.0</v>
      </c>
      <c r="U85" s="3">
        <v>5.0</v>
      </c>
      <c r="V85" s="3">
        <v>1.0</v>
      </c>
      <c r="W85" s="3">
        <v>0.0</v>
      </c>
      <c r="X85" s="3">
        <v>1.0</v>
      </c>
      <c r="Y85" s="3">
        <v>1.0</v>
      </c>
      <c r="Z85" s="3">
        <v>0.0</v>
      </c>
      <c r="AA85" s="3">
        <v>1.0</v>
      </c>
      <c r="AB85" s="3">
        <v>5.0</v>
      </c>
      <c r="AC85" s="3">
        <v>1.0</v>
      </c>
      <c r="AD85" s="3">
        <v>1.0</v>
      </c>
      <c r="AE85" s="3">
        <v>0.0</v>
      </c>
      <c r="AF85" s="3">
        <v>5.0</v>
      </c>
      <c r="AG85" s="3">
        <v>1.0</v>
      </c>
      <c r="AH85" s="3">
        <v>1.0</v>
      </c>
    </row>
    <row r="86">
      <c r="A86" s="2" t="s">
        <v>17</v>
      </c>
      <c r="B86" s="3">
        <f>IFERROR(__xludf.DUMMYFUNCTION("split(A86,""{,}"")"),1.0)</f>
        <v>1</v>
      </c>
      <c r="C86" s="3">
        <f>IFERROR(__xludf.DUMMYFUNCTION("""COMPUTED_VALUE"""),6.0)</f>
        <v>6</v>
      </c>
      <c r="D86" s="3">
        <f>IFERROR(__xludf.DUMMYFUNCTION("""COMPUTED_VALUE"""),0.0)</f>
        <v>0</v>
      </c>
      <c r="E86" s="3">
        <f>IFERROR(__xludf.DUMMYFUNCTION("""COMPUTED_VALUE"""),0.0)</f>
        <v>0</v>
      </c>
      <c r="F86" s="3">
        <f>IFERROR(__xludf.DUMMYFUNCTION("""COMPUTED_VALUE"""),0.0)</f>
        <v>0</v>
      </c>
      <c r="G86" s="3">
        <f>IFERROR(__xludf.DUMMYFUNCTION("""COMPUTED_VALUE"""),0.0)</f>
        <v>0</v>
      </c>
      <c r="H86" s="3">
        <f>IFERROR(__xludf.DUMMYFUNCTION("""COMPUTED_VALUE"""),0.0)</f>
        <v>0</v>
      </c>
      <c r="I86" s="3">
        <f>IFERROR(__xludf.DUMMYFUNCTION("""COMPUTED_VALUE"""),0.0)</f>
        <v>0</v>
      </c>
      <c r="J86" s="3">
        <f>IFERROR(__xludf.DUMMYFUNCTION("""COMPUTED_VALUE"""),0.0)</f>
        <v>0</v>
      </c>
      <c r="K86" s="3">
        <f>IFERROR(__xludf.DUMMYFUNCTION("""COMPUTED_VALUE"""),0.0)</f>
        <v>0</v>
      </c>
      <c r="L86" s="3">
        <f>IFERROR(__xludf.DUMMYFUNCTION("""COMPUTED_VALUE"""),0.0)</f>
        <v>0</v>
      </c>
      <c r="M86" s="3">
        <f>IFERROR(__xludf.DUMMYFUNCTION("""COMPUTED_VALUE"""),0.0)</f>
        <v>0</v>
      </c>
      <c r="N86" s="3">
        <f>IFERROR(__xludf.DUMMYFUNCTION("""COMPUTED_VALUE"""),0.0)</f>
        <v>0</v>
      </c>
      <c r="O86" s="3">
        <f>IFERROR(__xludf.DUMMYFUNCTION("""COMPUTED_VALUE"""),0.0)</f>
        <v>0</v>
      </c>
      <c r="P86" s="3">
        <f>IFERROR(__xludf.DUMMYFUNCTION("""COMPUTED_VALUE"""),3.0)</f>
        <v>3</v>
      </c>
      <c r="Q86" s="3">
        <f>IFERROR(__xludf.DUMMYFUNCTION("""COMPUTED_VALUE"""),1.0)</f>
        <v>1</v>
      </c>
      <c r="S86" s="3">
        <v>1.0</v>
      </c>
      <c r="T86" s="3">
        <v>6.0</v>
      </c>
      <c r="U86" s="3">
        <v>0.0</v>
      </c>
      <c r="V86" s="3">
        <v>0.0</v>
      </c>
      <c r="W86" s="3">
        <v>0.0</v>
      </c>
      <c r="X86" s="3">
        <v>0.0</v>
      </c>
      <c r="Y86" s="3">
        <v>0.0</v>
      </c>
      <c r="Z86" s="3">
        <v>0.0</v>
      </c>
      <c r="AA86" s="3">
        <v>0.0</v>
      </c>
      <c r="AB86" s="3">
        <v>0.0</v>
      </c>
      <c r="AC86" s="3">
        <v>0.0</v>
      </c>
      <c r="AD86" s="3">
        <v>0.0</v>
      </c>
      <c r="AE86" s="3">
        <v>0.0</v>
      </c>
      <c r="AF86" s="2">
        <v>1.0</v>
      </c>
      <c r="AG86" s="2">
        <v>4.0</v>
      </c>
      <c r="AH86" s="3">
        <v>1.0</v>
      </c>
    </row>
    <row r="87">
      <c r="A87" s="2" t="s">
        <v>3</v>
      </c>
      <c r="B87" s="3">
        <f>IFERROR(__xludf.DUMMYFUNCTION("split(A87,""{,}"")"),1.0)</f>
        <v>1</v>
      </c>
      <c r="C87" s="3">
        <f>IFERROR(__xludf.DUMMYFUNCTION("""COMPUTED_VALUE"""),1.0)</f>
        <v>1</v>
      </c>
      <c r="D87" s="3">
        <f>IFERROR(__xludf.DUMMYFUNCTION("""COMPUTED_VALUE"""),1.0)</f>
        <v>1</v>
      </c>
      <c r="E87" s="3">
        <f>IFERROR(__xludf.DUMMYFUNCTION("""COMPUTED_VALUE"""),1.0)</f>
        <v>1</v>
      </c>
      <c r="F87" s="3">
        <f>IFERROR(__xludf.DUMMYFUNCTION("""COMPUTED_VALUE"""),1.0)</f>
        <v>1</v>
      </c>
      <c r="G87" s="3">
        <f>IFERROR(__xludf.DUMMYFUNCTION("""COMPUTED_VALUE"""),1.0)</f>
        <v>1</v>
      </c>
      <c r="H87" s="3">
        <f>IFERROR(__xludf.DUMMYFUNCTION("""COMPUTED_VALUE"""),1.0)</f>
        <v>1</v>
      </c>
      <c r="I87" s="3">
        <f>IFERROR(__xludf.DUMMYFUNCTION("""COMPUTED_VALUE"""),1.0)</f>
        <v>1</v>
      </c>
      <c r="J87" s="3">
        <f>IFERROR(__xludf.DUMMYFUNCTION("""COMPUTED_VALUE"""),1.0)</f>
        <v>1</v>
      </c>
      <c r="K87" s="3">
        <f>IFERROR(__xludf.DUMMYFUNCTION("""COMPUTED_VALUE"""),1.0)</f>
        <v>1</v>
      </c>
      <c r="L87" s="3">
        <f>IFERROR(__xludf.DUMMYFUNCTION("""COMPUTED_VALUE"""),1.0)</f>
        <v>1</v>
      </c>
      <c r="M87" s="3">
        <f>IFERROR(__xludf.DUMMYFUNCTION("""COMPUTED_VALUE"""),1.0)</f>
        <v>1</v>
      </c>
      <c r="N87" s="3">
        <f>IFERROR(__xludf.DUMMYFUNCTION("""COMPUTED_VALUE"""),1.0)</f>
        <v>1</v>
      </c>
      <c r="O87" s="3">
        <f>IFERROR(__xludf.DUMMYFUNCTION("""COMPUTED_VALUE"""),1.0)</f>
        <v>1</v>
      </c>
      <c r="P87" s="3">
        <f>IFERROR(__xludf.DUMMYFUNCTION("""COMPUTED_VALUE"""),1.0)</f>
        <v>1</v>
      </c>
      <c r="Q87" s="3">
        <f>IFERROR(__xludf.DUMMYFUNCTION("""COMPUTED_VALUE"""),1.0)</f>
        <v>1</v>
      </c>
      <c r="S87" s="3">
        <v>1.0</v>
      </c>
      <c r="T87" s="3">
        <v>1.0</v>
      </c>
      <c r="U87" s="3">
        <v>1.0</v>
      </c>
      <c r="V87" s="3">
        <v>1.0</v>
      </c>
      <c r="W87" s="3">
        <v>1.0</v>
      </c>
      <c r="X87" s="3">
        <v>1.0</v>
      </c>
      <c r="Y87" s="3">
        <v>1.0</v>
      </c>
      <c r="Z87" s="3">
        <v>1.0</v>
      </c>
      <c r="AA87" s="3">
        <v>1.0</v>
      </c>
      <c r="AB87" s="3">
        <v>1.0</v>
      </c>
      <c r="AC87" s="3">
        <v>1.0</v>
      </c>
      <c r="AD87" s="3">
        <v>1.0</v>
      </c>
      <c r="AE87" s="3">
        <v>1.0</v>
      </c>
      <c r="AF87" s="3">
        <v>1.0</v>
      </c>
      <c r="AG87" s="3">
        <v>1.0</v>
      </c>
      <c r="AH87" s="3">
        <v>1.0</v>
      </c>
    </row>
  </sheetData>
  <conditionalFormatting sqref="B3:B11 C3:Q12 S3:S11 T3:AH12 B14:B33 C14:Q34 S14:S33 T14:AH34 B36:Q44 S36:AH44 B46:Q54 S46:AH54 B57:Q65 S57:AH65 B68:Q76 S68:AH76 B79:Q87 S79:AH87">
    <cfRule type="cellIs" dxfId="0" priority="1" operator="equal">
      <formula>1</formula>
    </cfRule>
  </conditionalFormatting>
  <conditionalFormatting sqref="B3:B11 C3:Q12 S3:S11 T3:AH12 B14:B33 C14:Q34 S14:S33 T14:AH34 B36:Q44 S36:AH44 B46:Q54 S46:AH54 B57:Q65 S57:AH65 B68:Q76 S68:AH76 B79:Q87 S79:AH87">
    <cfRule type="cellIs" dxfId="1" priority="2" operator="equal">
      <formula>0</formula>
    </cfRule>
  </conditionalFormatting>
  <conditionalFormatting sqref="B3:B11 C3:Q12 S3:S11 T3:AH12 B14:B33 C14:Q34 S14:S33 T14:AH34 B36:Q44 S36:AH44 B46:Q54 S46:AH54 B57:Q65 S57:AH65 B68:Q76 S68:AH76 B79:Q87 S79:AH87">
    <cfRule type="cellIs" dxfId="2" priority="3" operator="equal">
      <formula>2</formula>
    </cfRule>
  </conditionalFormatting>
  <conditionalFormatting sqref="B3:B11 C3:Q12 S3:S11 T3:AH12 B14:B33 C14:Q34 S14:S33 T14:AH34 B36:Q44 S36:AH44 B46:Q54 S46:AH54 B57:Q65 S57:AH65 B68:Q76 S68:AH76 B79:Q87 S79:AH87">
    <cfRule type="cellIs" dxfId="3" priority="4" operator="equal">
      <formula>3</formula>
    </cfRule>
  </conditionalFormatting>
  <conditionalFormatting sqref="C3:P11 T3:AG11 C14:P33 T14:AG33 C36:P44 T36:AG44 C46:P54 T46:AG54 C57:P65 T57:AG65 C68:P76 T68:AG76 C79:P87 T79:AG87">
    <cfRule type="cellIs" dxfId="4" priority="5" operator="equal">
      <formula>5</formula>
    </cfRule>
  </conditionalFormatting>
  <conditionalFormatting sqref="B3:Q11 S3:AH11 B14:Q33 S14:AH33 B36:Q44 S36:AH44 B46:Q54 S46:AH54 B57:Q65 S57:AH65 B68:Q76 S68:AH76 B79:Q87 S79:AH87">
    <cfRule type="cellIs" dxfId="5" priority="6" operator="equal">
      <formula>4</formula>
    </cfRule>
  </conditionalFormatting>
  <conditionalFormatting sqref="B3:Q11 S3:AH11 B14:Q33 S14:AH33 B36:Q44 S36:AH44 B46:Q54 S46:AH54 B57:Q65 S57:AH65 B68:Q76 S68:AH76 B79:Q87 S79:AH87">
    <cfRule type="cellIs" dxfId="6" priority="7" operator="equal">
      <formula>6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0.38"/>
    <col customWidth="1" min="7" max="7" width="57.0"/>
  </cols>
  <sheetData>
    <row r="1">
      <c r="A1" s="2" t="s">
        <v>82</v>
      </c>
      <c r="G1" s="4" t="str">
        <f>IFERROR(__xludf.DUMMYFUNCTION("join("""",A1:E1)"),"/* -----------------------------------------------------------------------")</f>
        <v>/* -----------------------------------------------------------------------</v>
      </c>
    </row>
    <row r="2">
      <c r="A2" s="2" t="s">
        <v>83</v>
      </c>
      <c r="G2" s="4" t="str">
        <f>IFERROR(__xludf.DUMMYFUNCTION("join("""",A2:E2)"),"maze_map[level][zone][row][col]")</f>
        <v>maze_map[level][zone][row][col]</v>
      </c>
    </row>
    <row r="3">
      <c r="A3" s="2" t="s">
        <v>84</v>
      </c>
      <c r="G3" s="4" t="str">
        <f>IFERROR(__xludf.DUMMYFUNCTION("join("""",A3:E3)"),"zone 0 = Zone A (enter from left, key here, teleport at col14 row7)")</f>
        <v>zone 0 = Zone A (enter from left, key here, teleport at col14 row7)</v>
      </c>
    </row>
    <row r="4">
      <c r="A4" s="2" t="s">
        <v>85</v>
      </c>
      <c r="G4" s="4" t="str">
        <f>IFERROR(__xludf.DUMMYFUNCTION("join("""",A4:E4)"),"zone 1 = Zone B (arrive via teleport, door exit at col14 row7)")</f>
        <v>zone 1 = Zone B (arrive via teleport, door exit at col14 row7)</v>
      </c>
    </row>
    <row r="5">
      <c r="A5" s="2" t="s">
        <v>0</v>
      </c>
      <c r="G5" s="4" t="str">
        <f>IFERROR(__xludf.DUMMYFUNCTION("join("""",A5:E5)"),"Cell values: 0=floor 1=wall 2=key 3=door 4=treasure 5=generator 6=teleport")</f>
        <v>Cell values: 0=floor 1=wall 2=key 3=door 4=treasure 5=generator 6=teleport</v>
      </c>
    </row>
    <row r="6">
      <c r="A6" s="2" t="s">
        <v>86</v>
      </c>
      <c r="G6" s="4" t="str">
        <f>IFERROR(__xludf.DUMMYFUNCTION("join("""",A6:E6)"),"----------------------------------------------------------------------- */")</f>
        <v>----------------------------------------------------------------------- */</v>
      </c>
    </row>
    <row r="7">
      <c r="A7" s="2"/>
      <c r="G7" s="4" t="str">
        <f>IFERROR(__xludf.DUMMYFUNCTION("join("""",A7:E7)"),"")</f>
        <v/>
      </c>
    </row>
    <row r="8">
      <c r="A8" s="2" t="s">
        <v>87</v>
      </c>
      <c r="G8" s="4" t="str">
        <f>IFERROR(__xludf.DUMMYFUNCTION("join("""",A8:E8)"),"static const u8 maze_map[8][2][9][16] = {")</f>
        <v>static const u8 maze_map[8][2][9][16] = {</v>
      </c>
    </row>
    <row r="9">
      <c r="A9" s="2" t="s">
        <v>88</v>
      </c>
      <c r="G9" s="4" t="str">
        <f>IFERROR(__xludf.DUMMYFUNCTION("join("""",A9:E9)"),"{ /* Level 0 - Chamber 0 (tan) */")</f>
        <v>{ /* Level 0 - Chamber 0 (tan) */</v>
      </c>
    </row>
    <row r="10">
      <c r="A10" s="2" t="s">
        <v>89</v>
      </c>
      <c r="G10" s="4" t="str">
        <f>IFERROR(__xludf.DUMMYFUNCTION("join("""",A10:E10)"),"{   /* Zone A */")</f>
        <v>{   /* Zone A */</v>
      </c>
    </row>
    <row r="11">
      <c r="B11" s="2" t="s">
        <v>90</v>
      </c>
      <c r="C11" s="3" t="str">
        <f>IFERROR(__xludf.DUMMYFUNCTION("join("","",'1-4 Level Maps'!S3:AH3)"),"1,1,1,1,1,1,1,1,1,1,1,1,1,1,1,1")</f>
        <v>1,1,1,1,1,1,1,1,1,1,1,1,1,1,1,1</v>
      </c>
      <c r="E11" s="2" t="s">
        <v>33</v>
      </c>
      <c r="G11" s="4" t="str">
        <f>IFERROR(__xludf.DUMMYFUNCTION("join("""",A11:E11)"),"{1,1,1,1,1,1,1,1,1,1,1,1,1,1,1,1},")</f>
        <v>{1,1,1,1,1,1,1,1,1,1,1,1,1,1,1,1},</v>
      </c>
    </row>
    <row r="12">
      <c r="B12" s="2" t="s">
        <v>90</v>
      </c>
      <c r="C12" s="3" t="str">
        <f>IFERROR(__xludf.DUMMYFUNCTION("join("","",'1-4 Level Maps'!S4:AH4)"),"1,0,0,0,0,0,0,0,0,4,0,0,0,0,0,1")</f>
        <v>1,0,0,0,0,0,0,0,0,4,0,0,0,0,0,1</v>
      </c>
      <c r="E12" s="2" t="s">
        <v>33</v>
      </c>
      <c r="G12" s="4" t="str">
        <f>IFERROR(__xludf.DUMMYFUNCTION("join("""",A12:E12)"),"{1,0,0,0,0,0,0,0,0,4,0,0,0,0,0,1},")</f>
        <v>{1,0,0,0,0,0,0,0,0,4,0,0,0,0,0,1},</v>
      </c>
    </row>
    <row r="13">
      <c r="B13" s="2" t="s">
        <v>90</v>
      </c>
      <c r="C13" s="3" t="str">
        <f>IFERROR(__xludf.DUMMYFUNCTION("join("","",'1-4 Level Maps'!S5:AH5)"),"1,0,1,1,1,0,1,1,0,1,1,0,1,1,0,1")</f>
        <v>1,0,1,1,1,0,1,1,0,1,1,0,1,1,0,1</v>
      </c>
      <c r="E13" s="2" t="s">
        <v>33</v>
      </c>
      <c r="G13" s="4" t="str">
        <f>IFERROR(__xludf.DUMMYFUNCTION("join("""",A13:E13)"),"{1,0,1,1,1,0,1,1,0,1,1,0,1,1,0,1},")</f>
        <v>{1,0,1,1,1,0,1,1,0,1,1,0,1,1,0,1},</v>
      </c>
    </row>
    <row r="14">
      <c r="B14" s="2" t="s">
        <v>90</v>
      </c>
      <c r="C14" s="3" t="str">
        <f>IFERROR(__xludf.DUMMYFUNCTION("join("","",'1-4 Level Maps'!S6:AH6)"),"1,0,0,0,0,0,0,1,1,4,1,0,0,0,2,1")</f>
        <v>1,0,0,0,0,0,0,1,1,4,1,0,0,0,2,1</v>
      </c>
      <c r="E14" s="2" t="s">
        <v>33</v>
      </c>
      <c r="G14" s="4" t="str">
        <f>IFERROR(__xludf.DUMMYFUNCTION("join("""",A14:E14)"),"{1,0,0,0,0,0,0,1,1,4,1,0,0,0,2,1},")</f>
        <v>{1,0,0,0,0,0,0,1,1,4,1,0,0,0,2,1},</v>
      </c>
    </row>
    <row r="15">
      <c r="B15" s="2" t="s">
        <v>90</v>
      </c>
      <c r="C15" s="3" t="str">
        <f>IFERROR(__xludf.DUMMYFUNCTION("join("","",'1-4 Level Maps'!S7:AH7)"),"1,1,1,1,0,1,1,4,1,1,1,0,1,0,1,1")</f>
        <v>1,1,1,1,0,1,1,4,1,1,1,0,1,0,1,1</v>
      </c>
      <c r="E15" s="2" t="s">
        <v>33</v>
      </c>
      <c r="G15" s="4" t="str">
        <f>IFERROR(__xludf.DUMMYFUNCTION("join("""",A15:E15)"),"{1,1,1,1,0,1,1,4,1,1,1,0,1,0,1,1},")</f>
        <v>{1,1,1,1,0,1,1,4,1,1,1,0,1,0,1,1},</v>
      </c>
    </row>
    <row r="16">
      <c r="B16" s="2" t="s">
        <v>90</v>
      </c>
      <c r="C16" s="3" t="str">
        <f>IFERROR(__xludf.DUMMYFUNCTION("join("","",'1-4 Level Maps'!S8:AH8)"),"1,0,0,0,0,0,5,1,1,0,0,0,0,1,1,1")</f>
        <v>1,0,0,0,0,0,5,1,1,0,0,0,0,1,1,1</v>
      </c>
      <c r="E16" s="2" t="s">
        <v>33</v>
      </c>
      <c r="G16" s="4" t="str">
        <f>IFERROR(__xludf.DUMMYFUNCTION("join("""",A16:E16)"),"{1,0,0,0,0,0,5,1,1,0,0,0,0,1,1,1},")</f>
        <v>{1,0,0,0,0,0,5,1,1,0,0,0,0,1,1,1},</v>
      </c>
    </row>
    <row r="17">
      <c r="B17" s="2" t="s">
        <v>90</v>
      </c>
      <c r="C17" s="3" t="str">
        <f>IFERROR(__xludf.DUMMYFUNCTION("join("","",'1-4 Level Maps'!S9:AH9)"),"1,0,1,1,0,1,1,1,5,1,1,1,0,1,6,1")</f>
        <v>1,0,1,1,0,1,1,1,5,1,1,1,0,1,6,1</v>
      </c>
      <c r="E17" s="2" t="s">
        <v>33</v>
      </c>
      <c r="G17" s="4" t="str">
        <f>IFERROR(__xludf.DUMMYFUNCTION("join("""",A17:E17)"),"{1,0,1,1,0,1,1,1,5,1,1,1,0,1,6,1},")</f>
        <v>{1,0,1,1,0,1,1,1,5,1,1,1,0,1,6,1},</v>
      </c>
    </row>
    <row r="18">
      <c r="B18" s="2" t="s">
        <v>90</v>
      </c>
      <c r="C18" s="3" t="str">
        <f>IFERROR(__xludf.DUMMYFUNCTION("join("","",'1-4 Level Maps'!S10:AH10)"),"1,0,0,0,0,0,1,0,0,0,0,0,0,0,0,1")</f>
        <v>1,0,0,0,0,0,1,0,0,0,0,0,0,0,0,1</v>
      </c>
      <c r="E18" s="2" t="s">
        <v>33</v>
      </c>
      <c r="G18" s="4" t="str">
        <f>IFERROR(__xludf.DUMMYFUNCTION("join("""",A18:E18)"),"{1,0,0,0,0,0,1,0,0,0,0,0,0,0,0,1},")</f>
        <v>{1,0,0,0,0,0,1,0,0,0,0,0,0,0,0,1},</v>
      </c>
    </row>
    <row r="19">
      <c r="B19" s="2" t="s">
        <v>90</v>
      </c>
      <c r="C19" s="3" t="str">
        <f>IFERROR(__xludf.DUMMYFUNCTION("join("","",'1-4 Level Maps'!S11:AH11)"),"1,1,1,1,1,1,1,1,1,1,1,1,1,1,1,1")</f>
        <v>1,1,1,1,1,1,1,1,1,1,1,1,1,1,1,1</v>
      </c>
      <c r="E19" s="2" t="s">
        <v>33</v>
      </c>
      <c r="G19" s="4" t="str">
        <f>IFERROR(__xludf.DUMMYFUNCTION("join("""",A19:E19)"),"{1,1,1,1,1,1,1,1,1,1,1,1,1,1,1,1},")</f>
        <v>{1,1,1,1,1,1,1,1,1,1,1,1,1,1,1,1},</v>
      </c>
    </row>
    <row r="20">
      <c r="A20" s="2" t="s">
        <v>33</v>
      </c>
      <c r="G20" s="4" t="str">
        <f>IFERROR(__xludf.DUMMYFUNCTION("join("""",A20:E20)"),"},")</f>
        <v>},</v>
      </c>
    </row>
    <row r="21">
      <c r="A21" s="2" t="s">
        <v>53</v>
      </c>
      <c r="G21" s="4" t="str">
        <f>IFERROR(__xludf.DUMMYFUNCTION("join("""",A21:E21)"),"{   /* Zone B */")</f>
        <v>{   /* Zone B */</v>
      </c>
    </row>
    <row r="22">
      <c r="B22" s="2" t="s">
        <v>90</v>
      </c>
      <c r="C22" s="3" t="str">
        <f>IFERROR(__xludf.DUMMYFUNCTION("join("","",'1-4 Level Maps'!S14:AH14)"),"1,1,1,1,1,1,1,1,1,1,1,1,1,1,1,1")</f>
        <v>1,1,1,1,1,1,1,1,1,1,1,1,1,1,1,1</v>
      </c>
      <c r="E22" s="2" t="s">
        <v>33</v>
      </c>
      <c r="G22" s="4" t="str">
        <f>IFERROR(__xludf.DUMMYFUNCTION("join("""",A22:E22)"),"{1,1,1,1,1,1,1,1,1,1,1,1,1,1,1,1},")</f>
        <v>{1,1,1,1,1,1,1,1,1,1,1,1,1,1,1,1},</v>
      </c>
    </row>
    <row r="23">
      <c r="B23" s="2" t="s">
        <v>90</v>
      </c>
      <c r="C23" s="3" t="str">
        <f>IFERROR(__xludf.DUMMYFUNCTION("join("","",'1-4 Level Maps'!S15:AH15)"),"1,1,4,1,1,0,0,0,0,0,0,0,0,0,3,1")</f>
        <v>1,1,4,1,1,0,0,0,0,0,0,0,0,0,3,1</v>
      </c>
      <c r="E23" s="2" t="s">
        <v>33</v>
      </c>
      <c r="G23" s="4" t="str">
        <f>IFERROR(__xludf.DUMMYFUNCTION("join("""",A23:E23)"),"{1,1,4,1,1,0,0,0,0,0,0,0,0,0,3,1},")</f>
        <v>{1,1,4,1,1,0,0,0,0,0,0,0,0,0,3,1},</v>
      </c>
    </row>
    <row r="24">
      <c r="B24" s="2" t="s">
        <v>90</v>
      </c>
      <c r="C24" s="3" t="str">
        <f>IFERROR(__xludf.DUMMYFUNCTION("join("","",'1-4 Level Maps'!S16:AH16)"),"1,1,1,5,1,0,1,1,0,1,1,1,0,1,1,1")</f>
        <v>1,1,1,5,1,0,1,1,0,1,1,1,0,1,1,1</v>
      </c>
      <c r="E24" s="2" t="s">
        <v>33</v>
      </c>
      <c r="G24" s="4" t="str">
        <f>IFERROR(__xludf.DUMMYFUNCTION("join("""",A24:E24)"),"{1,1,1,5,1,0,1,1,0,1,1,1,0,1,1,1},")</f>
        <v>{1,1,1,5,1,0,1,1,0,1,1,1,0,1,1,1},</v>
      </c>
    </row>
    <row r="25">
      <c r="B25" s="2" t="s">
        <v>90</v>
      </c>
      <c r="C25" s="3" t="str">
        <f>IFERROR(__xludf.DUMMYFUNCTION("join("","",'1-4 Level Maps'!S17:AH17)"),"1,0,0,0,1,0,0,1,5,0,0,0,0,0,5,1")</f>
        <v>1,0,0,0,1,0,0,1,5,0,0,0,0,0,5,1</v>
      </c>
      <c r="E25" s="2" t="s">
        <v>33</v>
      </c>
      <c r="G25" s="4" t="str">
        <f>IFERROR(__xludf.DUMMYFUNCTION("join("""",A25:E25)"),"{1,0,0,0,1,0,0,1,5,0,0,0,0,0,5,1},")</f>
        <v>{1,0,0,0,1,0,0,1,5,0,0,0,0,0,5,1},</v>
      </c>
    </row>
    <row r="26">
      <c r="B26" s="2" t="s">
        <v>90</v>
      </c>
      <c r="C26" s="3" t="str">
        <f>IFERROR(__xludf.DUMMYFUNCTION("join("","",'1-4 Level Maps'!S18:AH18)"),"1,0,1,0,1,1,0,1,1,0,1,1,0,1,1,1")</f>
        <v>1,0,1,0,1,1,0,1,1,0,1,1,0,1,1,1</v>
      </c>
      <c r="E26" s="2" t="s">
        <v>33</v>
      </c>
      <c r="G26" s="4" t="str">
        <f>IFERROR(__xludf.DUMMYFUNCTION("join("""",A26:E26)"),"{1,0,1,0,1,1,0,1,1,0,1,1,0,1,1,1},")</f>
        <v>{1,0,1,0,1,1,0,1,1,0,1,1,0,1,1,1},</v>
      </c>
    </row>
    <row r="27">
      <c r="B27" s="2" t="s">
        <v>90</v>
      </c>
      <c r="C27" s="3" t="str">
        <f>IFERROR(__xludf.DUMMYFUNCTION("join("","",'1-4 Level Maps'!S19:AH19)"),"1,0,1,0,0,0,0,0,0,0,0,0,0,0,0,1")</f>
        <v>1,0,1,0,0,0,0,0,0,0,0,0,0,0,0,1</v>
      </c>
      <c r="E27" s="2" t="s">
        <v>33</v>
      </c>
      <c r="G27" s="4" t="str">
        <f>IFERROR(__xludf.DUMMYFUNCTION("join("""",A27:E27)"),"{1,0,1,0,0,0,0,0,0,0,0,0,0,0,0,1},")</f>
        <v>{1,0,1,0,0,0,0,0,0,0,0,0,0,0,0,1},</v>
      </c>
    </row>
    <row r="28">
      <c r="B28" s="2" t="s">
        <v>90</v>
      </c>
      <c r="C28" s="3" t="str">
        <f>IFERROR(__xludf.DUMMYFUNCTION("join("","",'1-4 Level Maps'!S20:AH20)"),"1,0,1,1,0,1,1,0,1,1,5,1,1,0,1,1")</f>
        <v>1,0,1,1,0,1,1,0,1,1,5,1,1,0,1,1</v>
      </c>
      <c r="E28" s="2" t="s">
        <v>33</v>
      </c>
      <c r="G28" s="4" t="str">
        <f>IFERROR(__xludf.DUMMYFUNCTION("join("""",A28:E28)"),"{1,0,1,1,0,1,1,0,1,1,5,1,1,0,1,1},")</f>
        <v>{1,0,1,1,0,1,1,0,1,1,5,1,1,0,1,1},</v>
      </c>
    </row>
    <row r="29">
      <c r="B29" s="2" t="s">
        <v>90</v>
      </c>
      <c r="C29" s="3" t="str">
        <f>IFERROR(__xludf.DUMMYFUNCTION("join("","",'1-4 Level Maps'!S21:AH21)"),"1,6,0,0,0,1,4,0,0,0,0,0,0,0,0,1")</f>
        <v>1,6,0,0,0,1,4,0,0,0,0,0,0,0,0,1</v>
      </c>
      <c r="E29" s="2" t="s">
        <v>33</v>
      </c>
      <c r="G29" s="4" t="str">
        <f>IFERROR(__xludf.DUMMYFUNCTION("join("""",A29:E29)"),"{1,6,0,0,0,1,4,0,0,0,0,0,0,0,0,1},")</f>
        <v>{1,6,0,0,0,1,4,0,0,0,0,0,0,0,0,1},</v>
      </c>
    </row>
    <row r="30">
      <c r="B30" s="2" t="s">
        <v>90</v>
      </c>
      <c r="C30" s="3" t="str">
        <f>IFERROR(__xludf.DUMMYFUNCTION("join("","",'1-4 Level Maps'!S22:AH22)"),"1,1,1,1,1,1,1,1,1,1,1,1,1,1,1,1")</f>
        <v>1,1,1,1,1,1,1,1,1,1,1,1,1,1,1,1</v>
      </c>
      <c r="E30" s="2" t="s">
        <v>33</v>
      </c>
      <c r="G30" s="4" t="str">
        <f>IFERROR(__xludf.DUMMYFUNCTION("join("""",A30:E30)"),"{1,1,1,1,1,1,1,1,1,1,1,1,1,1,1,1},")</f>
        <v>{1,1,1,1,1,1,1,1,1,1,1,1,1,1,1,1},</v>
      </c>
    </row>
    <row r="31">
      <c r="A31" s="2" t="s">
        <v>33</v>
      </c>
      <c r="G31" s="4" t="str">
        <f>IFERROR(__xludf.DUMMYFUNCTION("join("""",A31:E31)"),"},")</f>
        <v>},</v>
      </c>
    </row>
    <row r="32">
      <c r="A32" s="2" t="s">
        <v>33</v>
      </c>
      <c r="G32" s="4" t="str">
        <f>IFERROR(__xludf.DUMMYFUNCTION("join("""",A32:E32)"),"},")</f>
        <v>},</v>
      </c>
    </row>
    <row r="33">
      <c r="A33" s="2" t="s">
        <v>91</v>
      </c>
      <c r="G33" s="4" t="str">
        <f>IFERROR(__xludf.DUMMYFUNCTION("join("""",A33:E33)"),"{ /* Level 1 - Chamber 1 (blue) */")</f>
        <v>{ /* Level 1 - Chamber 1 (blue) */</v>
      </c>
    </row>
    <row r="34">
      <c r="A34" s="2" t="s">
        <v>89</v>
      </c>
      <c r="G34" s="4" t="str">
        <f>IFERROR(__xludf.DUMMYFUNCTION("join("""",A34:E34)"),"{   /* Zone A */")</f>
        <v>{   /* Zone A */</v>
      </c>
    </row>
    <row r="35">
      <c r="B35" s="2" t="s">
        <v>90</v>
      </c>
      <c r="C35" s="3" t="str">
        <f>IFERROR(__xludf.DUMMYFUNCTION("join("","",'1-4 Level Maps'!S25:AH25)"),"1,1,1,1,1,1,1,1,1,1,1,1,1,1,1,1")</f>
        <v>1,1,1,1,1,1,1,1,1,1,1,1,1,1,1,1</v>
      </c>
      <c r="E35" s="2" t="s">
        <v>33</v>
      </c>
      <c r="G35" s="4" t="str">
        <f>IFERROR(__xludf.DUMMYFUNCTION("join("""",A35:E35)"),"{1,1,1,1,1,1,1,1,1,1,1,1,1,1,1,1},")</f>
        <v>{1,1,1,1,1,1,1,1,1,1,1,1,1,1,1,1},</v>
      </c>
    </row>
    <row r="36">
      <c r="B36" s="2" t="s">
        <v>90</v>
      </c>
      <c r="C36" s="3" t="str">
        <f>IFERROR(__xludf.DUMMYFUNCTION("join("","",'1-4 Level Maps'!S26:AH26)"),"1,0,0,0,0,0,0,0,0,0,0,0,0,0,0,1")</f>
        <v>1,0,0,0,0,0,0,0,0,0,0,0,0,0,0,1</v>
      </c>
      <c r="E36" s="2" t="s">
        <v>33</v>
      </c>
      <c r="G36" s="4" t="str">
        <f>IFERROR(__xludf.DUMMYFUNCTION("join("""",A36:E36)"),"{1,0,0,0,0,0,0,0,0,0,0,0,0,0,0,1},")</f>
        <v>{1,0,0,0,0,0,0,0,0,0,0,0,0,0,0,1},</v>
      </c>
    </row>
    <row r="37">
      <c r="B37" s="2" t="s">
        <v>90</v>
      </c>
      <c r="C37" s="3" t="str">
        <f>IFERROR(__xludf.DUMMYFUNCTION("join("","",'1-4 Level Maps'!S27:AH27)"),"1,4,1,1,1,0,1,1,5,1,1,0,1,1,6,1")</f>
        <v>1,4,1,1,1,0,1,1,5,1,1,0,1,1,6,1</v>
      </c>
      <c r="E37" s="2" t="s">
        <v>33</v>
      </c>
      <c r="G37" s="4" t="str">
        <f>IFERROR(__xludf.DUMMYFUNCTION("join("""",A37:E37)"),"{1,4,1,1,1,0,1,1,5,1,1,0,1,1,6,1},")</f>
        <v>{1,4,1,1,1,0,1,1,5,1,1,0,1,1,6,1},</v>
      </c>
    </row>
    <row r="38">
      <c r="B38" s="2" t="s">
        <v>90</v>
      </c>
      <c r="C38" s="3" t="str">
        <f>IFERROR(__xludf.DUMMYFUNCTION("join("","",'1-4 Level Maps'!S28:AH28)"),"1,0,0,0,0,0,0,1,1,4,1,0,0,0,0,1")</f>
        <v>1,0,0,0,0,0,0,1,1,4,1,0,0,0,0,1</v>
      </c>
      <c r="E38" s="2" t="s">
        <v>33</v>
      </c>
      <c r="G38" s="4" t="str">
        <f>IFERROR(__xludf.DUMMYFUNCTION("join("""",A38:E38)"),"{1,0,0,0,0,0,0,1,1,4,1,0,0,0,0,1},")</f>
        <v>{1,0,0,0,0,0,0,1,1,4,1,0,0,0,0,1},</v>
      </c>
    </row>
    <row r="39">
      <c r="B39" s="2" t="s">
        <v>90</v>
      </c>
      <c r="C39" s="3" t="str">
        <f>IFERROR(__xludf.DUMMYFUNCTION("join("","",'1-4 Level Maps'!S29:AH29)"),"1,1,1,1,0,1,1,4,1,1,1,0,1,4,1,1")</f>
        <v>1,1,1,1,0,1,1,4,1,1,1,0,1,4,1,1</v>
      </c>
      <c r="E39" s="2" t="s">
        <v>33</v>
      </c>
      <c r="G39" s="4" t="str">
        <f>IFERROR(__xludf.DUMMYFUNCTION("join("""",A39:E39)"),"{1,1,1,1,0,1,1,4,1,1,1,0,1,4,1,1},")</f>
        <v>{1,1,1,1,0,1,1,4,1,1,1,0,1,4,1,1},</v>
      </c>
    </row>
    <row r="40">
      <c r="B40" s="2" t="s">
        <v>90</v>
      </c>
      <c r="C40" s="3" t="str">
        <f>IFERROR(__xludf.DUMMYFUNCTION("join("","",'1-4 Level Maps'!S30:AH30)"),"1,0,0,0,0,0,5,1,1,1,0,0,0,1,1,1")</f>
        <v>1,0,0,0,0,0,5,1,1,1,0,0,0,1,1,1</v>
      </c>
      <c r="E40" s="2" t="s">
        <v>33</v>
      </c>
      <c r="G40" s="4" t="str">
        <f>IFERROR(__xludf.DUMMYFUNCTION("join("""",A40:E40)"),"{1,0,0,0,0,0,5,1,1,1,0,0,0,1,1,1},")</f>
        <v>{1,0,0,0,0,0,5,1,1,1,0,0,0,1,1,1},</v>
      </c>
    </row>
    <row r="41">
      <c r="B41" s="2" t="s">
        <v>90</v>
      </c>
      <c r="C41" s="3" t="str">
        <f>IFERROR(__xludf.DUMMYFUNCTION("join("","",'1-4 Level Maps'!S31:AH31)"),"1,0,1,1,0,1,1,1,1,1,1,1,0,1,5,1")</f>
        <v>1,0,1,1,0,1,1,1,1,1,1,1,0,1,5,1</v>
      </c>
      <c r="E41" s="2" t="s">
        <v>33</v>
      </c>
      <c r="G41" s="4" t="str">
        <f>IFERROR(__xludf.DUMMYFUNCTION("join("""",A41:E41)"),"{1,0,1,1,0,1,1,1,1,1,1,1,0,1,5,1},")</f>
        <v>{1,0,1,1,0,1,1,1,1,1,1,1,0,1,5,1},</v>
      </c>
    </row>
    <row r="42">
      <c r="B42" s="2" t="s">
        <v>90</v>
      </c>
      <c r="C42" s="3" t="str">
        <f>IFERROR(__xludf.DUMMYFUNCTION("join("","",'1-4 Level Maps'!S32:AH32)"),"1,0,0,0,0,0,4,1,1,0,2,0,0,0,0,1")</f>
        <v>1,0,0,0,0,0,4,1,1,0,2,0,0,0,0,1</v>
      </c>
      <c r="E42" s="2" t="s">
        <v>33</v>
      </c>
      <c r="G42" s="4" t="str">
        <f>IFERROR(__xludf.DUMMYFUNCTION("join("""",A42:E42)"),"{1,0,0,0,0,0,4,1,1,0,2,0,0,0,0,1},")</f>
        <v>{1,0,0,0,0,0,4,1,1,0,2,0,0,0,0,1},</v>
      </c>
    </row>
    <row r="43">
      <c r="B43" s="2" t="s">
        <v>90</v>
      </c>
      <c r="C43" s="3" t="str">
        <f>IFERROR(__xludf.DUMMYFUNCTION("join("","",'1-4 Level Maps'!S33:AH33)"),"1,1,1,1,1,1,1,1,1,1,1,1,1,1,1,1")</f>
        <v>1,1,1,1,1,1,1,1,1,1,1,1,1,1,1,1</v>
      </c>
      <c r="E43" s="2" t="s">
        <v>33</v>
      </c>
      <c r="G43" s="4" t="str">
        <f>IFERROR(__xludf.DUMMYFUNCTION("join("""",A43:E43)"),"{1,1,1,1,1,1,1,1,1,1,1,1,1,1,1,1},")</f>
        <v>{1,1,1,1,1,1,1,1,1,1,1,1,1,1,1,1},</v>
      </c>
    </row>
    <row r="44">
      <c r="A44" s="2" t="s">
        <v>33</v>
      </c>
      <c r="G44" s="4" t="str">
        <f>IFERROR(__xludf.DUMMYFUNCTION("join("""",A44:E44)"),"},")</f>
        <v>},</v>
      </c>
    </row>
    <row r="45">
      <c r="A45" s="2" t="s">
        <v>53</v>
      </c>
      <c r="G45" s="4" t="str">
        <f>IFERROR(__xludf.DUMMYFUNCTION("join("""",A45:E45)"),"{   /* Zone B */")</f>
        <v>{   /* Zone B */</v>
      </c>
    </row>
    <row r="46">
      <c r="B46" s="2" t="s">
        <v>90</v>
      </c>
      <c r="C46" s="3" t="str">
        <f>IFERROR(__xludf.DUMMYFUNCTION("join("","",'1-4 Level Maps'!S36:AH36)"),"1,1,1,1,1,1,1,1,1,1,1,1,1,1,1,1")</f>
        <v>1,1,1,1,1,1,1,1,1,1,1,1,1,1,1,1</v>
      </c>
      <c r="E46" s="2" t="s">
        <v>33</v>
      </c>
      <c r="G46" s="4" t="str">
        <f>IFERROR(__xludf.DUMMYFUNCTION("join("""",A46:E46)"),"{1,1,1,1,1,1,1,1,1,1,1,1,1,1,1,1},")</f>
        <v>{1,1,1,1,1,1,1,1,1,1,1,1,1,1,1,1},</v>
      </c>
    </row>
    <row r="47">
      <c r="B47" s="2" t="s">
        <v>90</v>
      </c>
      <c r="C47" s="3" t="str">
        <f>IFERROR(__xludf.DUMMYFUNCTION("join("","",'1-4 Level Maps'!S37:AH37)"),"1,4,4,1,1,0,4,0,0,0,0,0,0,0,0,1")</f>
        <v>1,4,4,1,1,0,4,0,0,0,0,0,0,0,0,1</v>
      </c>
      <c r="E47" s="2" t="s">
        <v>33</v>
      </c>
      <c r="G47" s="4" t="str">
        <f>IFERROR(__xludf.DUMMYFUNCTION("join("""",A47:E47)"),"{1,4,4,1,1,0,4,0,0,0,0,0,0,0,0,1},")</f>
        <v>{1,4,4,1,1,0,4,0,0,0,0,0,0,0,0,1},</v>
      </c>
    </row>
    <row r="48">
      <c r="B48" s="2" t="s">
        <v>90</v>
      </c>
      <c r="C48" s="3" t="str">
        <f>IFERROR(__xludf.DUMMYFUNCTION("join("","",'1-4 Level Maps'!S38:AH38)"),"1,1,1,5,1,0,1,1,0,1,1,1,0,1,5,1")</f>
        <v>1,1,1,5,1,0,1,1,0,1,1,1,0,1,5,1</v>
      </c>
      <c r="E48" s="2" t="s">
        <v>33</v>
      </c>
      <c r="G48" s="4" t="str">
        <f>IFERROR(__xludf.DUMMYFUNCTION("join("""",A48:E48)"),"{1,1,1,5,1,0,1,1,0,1,1,1,0,1,5,1},")</f>
        <v>{1,1,1,5,1,0,1,1,0,1,1,1,0,1,5,1},</v>
      </c>
    </row>
    <row r="49">
      <c r="B49" s="2" t="s">
        <v>90</v>
      </c>
      <c r="C49" s="3" t="str">
        <f>IFERROR(__xludf.DUMMYFUNCTION("join("","",'1-4 Level Maps'!S39:AH39)"),"1,0,0,0,1,0,0,1,0,0,0,0,0,0,0,1")</f>
        <v>1,0,0,0,1,0,0,1,0,0,0,0,0,0,0,1</v>
      </c>
      <c r="E49" s="2" t="s">
        <v>33</v>
      </c>
      <c r="G49" s="4" t="str">
        <f>IFERROR(__xludf.DUMMYFUNCTION("join("""",A49:E49)"),"{1,0,0,0,1,0,0,1,0,0,0,0,0,0,0,1},")</f>
        <v>{1,0,0,0,1,0,0,1,0,0,0,0,0,0,0,1},</v>
      </c>
    </row>
    <row r="50">
      <c r="B50" s="2" t="s">
        <v>90</v>
      </c>
      <c r="C50" s="3" t="str">
        <f>IFERROR(__xludf.DUMMYFUNCTION("join("","",'1-4 Level Maps'!S40:AH40)"),"1,0,1,0,1,1,0,1,1,0,1,1,0,1,1,1")</f>
        <v>1,0,1,0,1,1,0,1,1,0,1,1,0,1,1,1</v>
      </c>
      <c r="E50" s="2" t="s">
        <v>33</v>
      </c>
      <c r="G50" s="4" t="str">
        <f>IFERROR(__xludf.DUMMYFUNCTION("join("""",A50:E50)"),"{1,0,1,0,1,1,0,1,1,0,1,1,0,1,1,1},")</f>
        <v>{1,0,1,0,1,1,0,1,1,0,1,1,0,1,1,1},</v>
      </c>
    </row>
    <row r="51">
      <c r="B51" s="2" t="s">
        <v>90</v>
      </c>
      <c r="C51" s="3" t="str">
        <f>IFERROR(__xludf.DUMMYFUNCTION("join("","",'1-4 Level Maps'!S41:AH41)"),"1,0,1,0,0,0,0,0,0,0,0,5,0,0,0,1")</f>
        <v>1,0,1,0,0,0,0,0,0,0,0,5,0,0,0,1</v>
      </c>
      <c r="E51" s="2" t="s">
        <v>33</v>
      </c>
      <c r="G51" s="4" t="str">
        <f>IFERROR(__xludf.DUMMYFUNCTION("join("""",A51:E51)"),"{1,0,1,0,0,0,0,0,0,0,0,5,0,0,0,1},")</f>
        <v>{1,0,1,0,0,0,0,0,0,0,0,5,0,0,0,1},</v>
      </c>
    </row>
    <row r="52">
      <c r="B52" s="2" t="s">
        <v>90</v>
      </c>
      <c r="C52" s="3" t="str">
        <f>IFERROR(__xludf.DUMMYFUNCTION("join("","",'1-4 Level Maps'!S42:AH42)"),"1,6,1,1,0,1,1,5,1,1,0,1,1,0,1,1")</f>
        <v>1,6,1,1,0,1,1,5,1,1,0,1,1,0,1,1</v>
      </c>
      <c r="E52" s="2" t="s">
        <v>33</v>
      </c>
      <c r="G52" s="4" t="str">
        <f>IFERROR(__xludf.DUMMYFUNCTION("join("""",A52:E52)"),"{1,6,1,1,0,1,1,5,1,1,0,1,1,0,1,1},")</f>
        <v>{1,6,1,1,0,1,1,5,1,1,0,1,1,0,1,1},</v>
      </c>
    </row>
    <row r="53">
      <c r="B53" s="2" t="s">
        <v>90</v>
      </c>
      <c r="C53" s="3" t="str">
        <f>IFERROR(__xludf.DUMMYFUNCTION("join("","",'1-4 Level Maps'!S43:AH43)"),"1,0,0,0,0,0,0,0,0,0,0,0,0,0,3,1")</f>
        <v>1,0,0,0,0,0,0,0,0,0,0,0,0,0,3,1</v>
      </c>
      <c r="E53" s="2" t="s">
        <v>33</v>
      </c>
      <c r="G53" s="4" t="str">
        <f>IFERROR(__xludf.DUMMYFUNCTION("join("""",A53:E53)"),"{1,0,0,0,0,0,0,0,0,0,0,0,0,0,3,1},")</f>
        <v>{1,0,0,0,0,0,0,0,0,0,0,0,0,0,3,1},</v>
      </c>
    </row>
    <row r="54">
      <c r="B54" s="2" t="s">
        <v>90</v>
      </c>
      <c r="C54" s="3" t="str">
        <f>IFERROR(__xludf.DUMMYFUNCTION("join("","",'1-4 Level Maps'!S44:AH44)"),"1,1,1,1,1,1,1,1,1,1,1,1,1,1,1,1")</f>
        <v>1,1,1,1,1,1,1,1,1,1,1,1,1,1,1,1</v>
      </c>
      <c r="E54" s="2" t="s">
        <v>33</v>
      </c>
      <c r="G54" s="4" t="str">
        <f>IFERROR(__xludf.DUMMYFUNCTION("join("""",A54:E54)"),"{1,1,1,1,1,1,1,1,1,1,1,1,1,1,1,1},")</f>
        <v>{1,1,1,1,1,1,1,1,1,1,1,1,1,1,1,1},</v>
      </c>
    </row>
    <row r="55">
      <c r="A55" s="2" t="s">
        <v>33</v>
      </c>
      <c r="G55" s="4" t="str">
        <f>IFERROR(__xludf.DUMMYFUNCTION("join("""",A55:E55)"),"},")</f>
        <v>},</v>
      </c>
    </row>
    <row r="56">
      <c r="A56" s="2" t="s">
        <v>33</v>
      </c>
      <c r="G56" s="4" t="str">
        <f>IFERROR(__xludf.DUMMYFUNCTION("join("""",A56:E56)"),"},")</f>
        <v>},</v>
      </c>
    </row>
    <row r="57">
      <c r="A57" s="2" t="s">
        <v>92</v>
      </c>
      <c r="G57" s="4" t="str">
        <f>IFERROR(__xludf.DUMMYFUNCTION("join("""",A57:E57)"),"{ /* Level 2 - Chamber 2 (blue) */")</f>
        <v>{ /* Level 2 - Chamber 2 (blue) */</v>
      </c>
    </row>
    <row r="58">
      <c r="A58" s="2" t="s">
        <v>89</v>
      </c>
      <c r="G58" s="4" t="str">
        <f>IFERROR(__xludf.DUMMYFUNCTION("join("""",A58:E58)"),"{   /* Zone A */")</f>
        <v>{   /* Zone A */</v>
      </c>
    </row>
    <row r="59">
      <c r="B59" s="2" t="s">
        <v>90</v>
      </c>
      <c r="C59" s="3" t="str">
        <f>IFERROR(__xludf.DUMMYFUNCTION("join("","",'1-4 Level Maps'!S46:AH46)"),"1,1,1,1,1,1,1,1,1,1,1,1,1,1,1,1")</f>
        <v>1,1,1,1,1,1,1,1,1,1,1,1,1,1,1,1</v>
      </c>
      <c r="E59" s="2" t="s">
        <v>33</v>
      </c>
      <c r="G59" s="4" t="str">
        <f>IFERROR(__xludf.DUMMYFUNCTION("join("""",A59:E59)"),"{1,1,1,1,1,1,1,1,1,1,1,1,1,1,1,1},")</f>
        <v>{1,1,1,1,1,1,1,1,1,1,1,1,1,1,1,1},</v>
      </c>
    </row>
    <row r="60">
      <c r="B60" s="2" t="s">
        <v>90</v>
      </c>
      <c r="C60" s="3" t="str">
        <f>IFERROR(__xludf.DUMMYFUNCTION("join("","",'1-4 Level Maps'!S47:AH47)"),"1,0,0,4,1,0,0,0,0,4,1,0,0,0,0,1")</f>
        <v>1,0,0,4,1,0,0,0,0,4,1,0,0,0,0,1</v>
      </c>
      <c r="E60" s="2" t="s">
        <v>33</v>
      </c>
      <c r="G60" s="4" t="str">
        <f>IFERROR(__xludf.DUMMYFUNCTION("join("""",A60:E60)"),"{1,0,0,4,1,0,0,0,0,4,1,0,0,0,0,1},")</f>
        <v>{1,0,0,4,1,0,0,0,0,4,1,0,0,0,0,1},</v>
      </c>
    </row>
    <row r="61">
      <c r="B61" s="2" t="s">
        <v>90</v>
      </c>
      <c r="C61" s="3" t="str">
        <f>IFERROR(__xludf.DUMMYFUNCTION("join("","",'1-4 Level Maps'!S48:AH48)"),"1,0,1,1,1,0,1,1,0,1,1,1,0,1,0,1")</f>
        <v>1,0,1,1,1,0,1,1,0,1,1,1,0,1,0,1</v>
      </c>
      <c r="E61" s="2" t="s">
        <v>33</v>
      </c>
      <c r="G61" s="4" t="str">
        <f>IFERROR(__xludf.DUMMYFUNCTION("join("""",A61:E61)"),"{1,0,1,1,1,0,1,1,0,1,1,1,0,1,0,1},")</f>
        <v>{1,0,1,1,1,0,1,1,0,1,1,1,0,1,0,1},</v>
      </c>
    </row>
    <row r="62">
      <c r="B62" s="2" t="s">
        <v>90</v>
      </c>
      <c r="C62" s="3" t="str">
        <f>IFERROR(__xludf.DUMMYFUNCTION("join("","",'1-4 Level Maps'!S49:AH49)"),"1,0,0,0,0,0,1,0,0,0,0,0,2,1,0,1")</f>
        <v>1,0,0,0,0,0,1,0,0,0,0,0,2,1,0,1</v>
      </c>
      <c r="E62" s="2" t="s">
        <v>33</v>
      </c>
      <c r="G62" s="4" t="str">
        <f>IFERROR(__xludf.DUMMYFUNCTION("join("""",A62:E62)"),"{1,0,0,0,0,0,1,0,0,0,0,0,2,1,0,1},")</f>
        <v>{1,0,0,0,0,0,1,0,0,0,0,0,2,1,0,1},</v>
      </c>
    </row>
    <row r="63">
      <c r="B63" s="2" t="s">
        <v>90</v>
      </c>
      <c r="C63" s="3" t="str">
        <f>IFERROR(__xludf.DUMMYFUNCTION("join("","",'1-4 Level Maps'!S50:AH50)"),"1,1,0,1,1,1,1,0,1,1,0,1,1,1,0,1")</f>
        <v>1,1,0,1,1,1,1,0,1,1,0,1,1,1,0,1</v>
      </c>
      <c r="E63" s="2" t="s">
        <v>33</v>
      </c>
      <c r="G63" s="4" t="str">
        <f>IFERROR(__xludf.DUMMYFUNCTION("join("""",A63:E63)"),"{1,1,0,1,1,1,1,0,1,1,0,1,1,1,0,1},")</f>
        <v>{1,1,0,1,1,1,1,0,1,1,0,1,1,1,0,1},</v>
      </c>
    </row>
    <row r="64">
      <c r="B64" s="2" t="s">
        <v>90</v>
      </c>
      <c r="C64" s="3" t="str">
        <f>IFERROR(__xludf.DUMMYFUNCTION("join("","",'1-4 Level Maps'!S51:AH51)"),"1,0,0,0,0,0,0,0,0,0,0,0,0,0,0,1")</f>
        <v>1,0,0,0,0,0,0,0,0,0,0,0,0,0,0,1</v>
      </c>
      <c r="E64" s="2" t="s">
        <v>33</v>
      </c>
      <c r="G64" s="4" t="str">
        <f>IFERROR(__xludf.DUMMYFUNCTION("join("""",A64:E64)"),"{1,0,0,0,0,0,0,0,0,0,0,0,0,0,0,1},")</f>
        <v>{1,0,0,0,0,0,0,0,0,0,0,0,0,0,0,1},</v>
      </c>
    </row>
    <row r="65">
      <c r="B65" s="2" t="s">
        <v>90</v>
      </c>
      <c r="C65" s="3" t="str">
        <f>IFERROR(__xludf.DUMMYFUNCTION("join("","",'1-4 Level Maps'!S52:AH52)"),"1,0,1,1,0,1,5,1,1,4,1,1,0,5,1,1")</f>
        <v>1,0,1,1,0,1,5,1,1,4,1,1,0,5,1,1</v>
      </c>
      <c r="E65" s="2" t="s">
        <v>33</v>
      </c>
      <c r="G65" s="4" t="str">
        <f>IFERROR(__xludf.DUMMYFUNCTION("join("""",A65:E65)"),"{1,0,1,1,0,1,5,1,1,4,1,1,0,5,1,1},")</f>
        <v>{1,0,1,1,0,1,5,1,1,4,1,1,0,5,1,1},</v>
      </c>
    </row>
    <row r="66">
      <c r="B66" s="2" t="s">
        <v>90</v>
      </c>
      <c r="C66" s="3" t="str">
        <f>IFERROR(__xludf.DUMMYFUNCTION("join("","",'1-4 Level Maps'!S53:AH53)"),"1,0,0,0,0,0,0,0,0,0,0,0,0,0,6,1")</f>
        <v>1,0,0,0,0,0,0,0,0,0,0,0,0,0,6,1</v>
      </c>
      <c r="E66" s="2" t="s">
        <v>33</v>
      </c>
      <c r="G66" s="4" t="str">
        <f>IFERROR(__xludf.DUMMYFUNCTION("join("""",A66:E66)"),"{1,0,0,0,0,0,0,0,0,0,0,0,0,0,6,1},")</f>
        <v>{1,0,0,0,0,0,0,0,0,0,0,0,0,0,6,1},</v>
      </c>
    </row>
    <row r="67">
      <c r="B67" s="2" t="s">
        <v>90</v>
      </c>
      <c r="C67" s="3" t="str">
        <f>IFERROR(__xludf.DUMMYFUNCTION("join("","",'1-4 Level Maps'!S54:AH54)"),"1,1,1,1,1,1,1,1,1,1,1,1,1,1,1,1")</f>
        <v>1,1,1,1,1,1,1,1,1,1,1,1,1,1,1,1</v>
      </c>
      <c r="E67" s="2" t="s">
        <v>33</v>
      </c>
      <c r="G67" s="4" t="str">
        <f>IFERROR(__xludf.DUMMYFUNCTION("join("""",A67:E67)"),"{1,1,1,1,1,1,1,1,1,1,1,1,1,1,1,1},")</f>
        <v>{1,1,1,1,1,1,1,1,1,1,1,1,1,1,1,1},</v>
      </c>
    </row>
    <row r="68">
      <c r="A68" s="2" t="s">
        <v>33</v>
      </c>
      <c r="G68" s="4" t="str">
        <f>IFERROR(__xludf.DUMMYFUNCTION("join("""",A68:E68)"),"},")</f>
        <v>},</v>
      </c>
    </row>
    <row r="69">
      <c r="A69" s="2" t="s">
        <v>53</v>
      </c>
      <c r="G69" s="4" t="str">
        <f>IFERROR(__xludf.DUMMYFUNCTION("join("""",A69:E69)"),"{   /* Zone B */")</f>
        <v>{   /* Zone B */</v>
      </c>
    </row>
    <row r="70">
      <c r="B70" s="2" t="s">
        <v>90</v>
      </c>
      <c r="C70" s="3" t="str">
        <f>IFERROR(__xludf.DUMMYFUNCTION("join("","",'1-4 Level Maps'!S57:AH57)"),"1,1,1,1,1,1,1,1,1,1,1,1,1,1,1,1")</f>
        <v>1,1,1,1,1,1,1,1,1,1,1,1,1,1,1,1</v>
      </c>
      <c r="E70" s="2" t="s">
        <v>33</v>
      </c>
      <c r="G70" s="4" t="str">
        <f>IFERROR(__xludf.DUMMYFUNCTION("join("""",A70:E70)"),"{1,1,1,1,1,1,1,1,1,1,1,1,1,1,1,1},")</f>
        <v>{1,1,1,1,1,1,1,1,1,1,1,1,1,1,1,1},</v>
      </c>
    </row>
    <row r="71">
      <c r="B71" s="2" t="s">
        <v>90</v>
      </c>
      <c r="C71" s="3" t="str">
        <f>IFERROR(__xludf.DUMMYFUNCTION("join("","",'1-4 Level Maps'!S58:AH58)"),"1,0,0,0,0,4,1,0,0,0,1,0,0,0,4,1")</f>
        <v>1,0,0,0,0,4,1,0,0,0,1,0,0,0,4,1</v>
      </c>
      <c r="E71" s="2" t="s">
        <v>33</v>
      </c>
      <c r="G71" s="4" t="str">
        <f>IFERROR(__xludf.DUMMYFUNCTION("join("""",A71:E71)"),"{1,0,0,0,0,4,1,0,0,0,1,0,0,0,4,1},")</f>
        <v>{1,0,0,0,0,4,1,0,0,0,1,0,0,0,4,1},</v>
      </c>
    </row>
    <row r="72">
      <c r="B72" s="2" t="s">
        <v>90</v>
      </c>
      <c r="C72" s="3" t="str">
        <f>IFERROR(__xludf.DUMMYFUNCTION("join("","",'1-4 Level Maps'!S59:AH59)"),"1,0,1,1,0,1,1,0,1,0,1,0,1,1,5,1")</f>
        <v>1,0,1,1,0,1,1,0,1,0,1,0,1,1,5,1</v>
      </c>
      <c r="E72" s="2" t="s">
        <v>33</v>
      </c>
      <c r="G72" s="4" t="str">
        <f>IFERROR(__xludf.DUMMYFUNCTION("join("""",A72:E72)"),"{1,0,1,1,0,1,1,0,1,0,1,0,1,1,5,1},")</f>
        <v>{1,0,1,1,0,1,1,0,1,0,1,0,1,1,5,1},</v>
      </c>
    </row>
    <row r="73">
      <c r="B73" s="2" t="s">
        <v>90</v>
      </c>
      <c r="C73" s="3" t="str">
        <f>IFERROR(__xludf.DUMMYFUNCTION("join("","",'1-4 Level Maps'!S60:AH60)"),"1,0,0,5,0,0,0,0,1,0,0,0,0,0,1,1")</f>
        <v>1,0,0,5,0,0,0,0,1,0,0,0,0,0,1,1</v>
      </c>
      <c r="E73" s="2" t="s">
        <v>33</v>
      </c>
      <c r="G73" s="4" t="str">
        <f>IFERROR(__xludf.DUMMYFUNCTION("join("""",A73:E73)"),"{1,0,0,5,0,0,0,0,1,0,0,0,0,0,1,1},")</f>
        <v>{1,0,0,5,0,0,0,0,1,0,0,0,0,0,1,1},</v>
      </c>
    </row>
    <row r="74">
      <c r="B74" s="2" t="s">
        <v>90</v>
      </c>
      <c r="C74" s="3" t="str">
        <f>IFERROR(__xludf.DUMMYFUNCTION("join("","",'1-4 Level Maps'!S61:AH61)"),"1,1,0,1,1,0,1,1,1,1,1,0,1,1,1,1")</f>
        <v>1,1,0,1,1,0,1,1,1,1,1,0,1,1,1,1</v>
      </c>
      <c r="E74" s="2" t="s">
        <v>33</v>
      </c>
      <c r="G74" s="4" t="str">
        <f>IFERROR(__xludf.DUMMYFUNCTION("join("""",A74:E74)"),"{1,1,0,1,1,0,1,1,1,1,1,0,1,1,1,1},")</f>
        <v>{1,1,0,1,1,0,1,1,1,1,1,0,1,1,1,1},</v>
      </c>
    </row>
    <row r="75">
      <c r="B75" s="2" t="s">
        <v>90</v>
      </c>
      <c r="C75" s="3" t="str">
        <f>IFERROR(__xludf.DUMMYFUNCTION("join("","",'1-4 Level Maps'!S62:AH62)"),"1,0,0,0,0,0,0,0,1,0,0,0,0,0,0,1")</f>
        <v>1,0,0,0,0,0,0,0,1,0,0,0,0,0,0,1</v>
      </c>
      <c r="E75" s="2" t="s">
        <v>33</v>
      </c>
      <c r="G75" s="4" t="str">
        <f>IFERROR(__xludf.DUMMYFUNCTION("join("""",A75:E75)"),"{1,0,0,0,0,0,0,0,1,0,0,0,0,0,0,1},")</f>
        <v>{1,0,0,0,0,0,0,0,1,0,0,0,0,0,0,1},</v>
      </c>
    </row>
    <row r="76">
      <c r="B76" s="2" t="s">
        <v>90</v>
      </c>
      <c r="C76" s="3" t="str">
        <f>IFERROR(__xludf.DUMMYFUNCTION("join("","",'1-4 Level Maps'!S63:AH63)"),"1,0,1,1,4,1,0,1,1,0,1,5,1,0,1,1")</f>
        <v>1,0,1,1,4,1,0,1,1,0,1,5,1,0,1,1</v>
      </c>
      <c r="E76" s="2" t="s">
        <v>33</v>
      </c>
      <c r="G76" s="4" t="str">
        <f>IFERROR(__xludf.DUMMYFUNCTION("join("""",A76:E76)"),"{1,0,1,1,4,1,0,1,1,0,1,5,1,0,1,1},")</f>
        <v>{1,0,1,1,4,1,0,1,1,0,1,5,1,0,1,1},</v>
      </c>
    </row>
    <row r="77">
      <c r="B77" s="2" t="s">
        <v>90</v>
      </c>
      <c r="C77" s="3" t="str">
        <f>IFERROR(__xludf.DUMMYFUNCTION("join("","",'1-4 Level Maps'!S64:AH64)"),"1,6,0,0,0,0,0,1,0,0,0,0,0,0,3,1")</f>
        <v>1,6,0,0,0,0,0,1,0,0,0,0,0,0,3,1</v>
      </c>
      <c r="E77" s="2" t="s">
        <v>33</v>
      </c>
      <c r="G77" s="4" t="str">
        <f>IFERROR(__xludf.DUMMYFUNCTION("join("""",A77:E77)"),"{1,6,0,0,0,0,0,1,0,0,0,0,0,0,3,1},")</f>
        <v>{1,6,0,0,0,0,0,1,0,0,0,0,0,0,3,1},</v>
      </c>
    </row>
    <row r="78">
      <c r="B78" s="2" t="s">
        <v>90</v>
      </c>
      <c r="C78" s="3" t="str">
        <f>IFERROR(__xludf.DUMMYFUNCTION("join("","",'1-4 Level Maps'!S65:AH65)"),"1,1,1,1,1,1,1,1,1,1,1,1,1,1,1,1")</f>
        <v>1,1,1,1,1,1,1,1,1,1,1,1,1,1,1,1</v>
      </c>
      <c r="E78" s="2" t="s">
        <v>33</v>
      </c>
      <c r="G78" s="4" t="str">
        <f>IFERROR(__xludf.DUMMYFUNCTION("join("""",A78:E78)"),"{1,1,1,1,1,1,1,1,1,1,1,1,1,1,1,1},")</f>
        <v>{1,1,1,1,1,1,1,1,1,1,1,1,1,1,1,1},</v>
      </c>
    </row>
    <row r="79">
      <c r="A79" s="2" t="s">
        <v>33</v>
      </c>
      <c r="G79" s="4" t="str">
        <f>IFERROR(__xludf.DUMMYFUNCTION("join("""",A79:E79)"),"},")</f>
        <v>},</v>
      </c>
    </row>
    <row r="80">
      <c r="A80" s="2" t="s">
        <v>33</v>
      </c>
      <c r="G80" s="4" t="str">
        <f>IFERROR(__xludf.DUMMYFUNCTION("join("""",A80:E80)"),"},")</f>
        <v>},</v>
      </c>
    </row>
    <row r="81">
      <c r="A81" s="2" t="s">
        <v>93</v>
      </c>
      <c r="G81" s="4" t="str">
        <f>IFERROR(__xludf.DUMMYFUNCTION("join("""",A81:E81)"),"{ /* Level 3 - Chamber 3 (purple) */")</f>
        <v>{ /* Level 3 - Chamber 3 (purple) */</v>
      </c>
    </row>
    <row r="82">
      <c r="A82" s="2" t="s">
        <v>89</v>
      </c>
      <c r="G82" s="4" t="str">
        <f>IFERROR(__xludf.DUMMYFUNCTION("join("""",A82:E82)"),"{   /* Zone A */")</f>
        <v>{   /* Zone A */</v>
      </c>
    </row>
    <row r="83">
      <c r="B83" s="2" t="s">
        <v>90</v>
      </c>
      <c r="C83" s="3" t="str">
        <f>IFERROR(__xludf.DUMMYFUNCTION("join("","",'1-4 Level Maps'!S68:AH68)"),"1,1,1,1,1,1,1,1,1,1,1,1,1,1,1,1")</f>
        <v>1,1,1,1,1,1,1,1,1,1,1,1,1,1,1,1</v>
      </c>
      <c r="E83" s="2" t="s">
        <v>33</v>
      </c>
      <c r="G83" s="4" t="str">
        <f>IFERROR(__xludf.DUMMYFUNCTION("join("""",A83:E83)"),"{1,1,1,1,1,1,1,1,1,1,1,1,1,1,1,1},")</f>
        <v>{1,1,1,1,1,1,1,1,1,1,1,1,1,1,1,1},</v>
      </c>
    </row>
    <row r="84">
      <c r="B84" s="2" t="s">
        <v>90</v>
      </c>
      <c r="C84" s="3" t="str">
        <f>IFERROR(__xludf.DUMMYFUNCTION("join("","",'1-4 Level Maps'!S69:AH69)"),"1,6,0,0,1,0,0,0,0,4,1,0,0,0,0,1")</f>
        <v>1,6,0,0,1,0,0,0,0,4,1,0,0,0,0,1</v>
      </c>
      <c r="E84" s="2" t="s">
        <v>33</v>
      </c>
      <c r="G84" s="4" t="str">
        <f>IFERROR(__xludf.DUMMYFUNCTION("join("""",A84:E84)"),"{1,6,0,0,1,0,0,0,0,4,1,0,0,0,0,1},")</f>
        <v>{1,6,0,0,1,0,0,0,0,4,1,0,0,0,0,1},</v>
      </c>
    </row>
    <row r="85">
      <c r="B85" s="2" t="s">
        <v>90</v>
      </c>
      <c r="C85" s="3" t="str">
        <f>IFERROR(__xludf.DUMMYFUNCTION("join("","",'1-4 Level Maps'!S70:AH70)"),"1,1,0,1,1,0,1,1,1,0,1,0,1,1,0,1")</f>
        <v>1,1,0,1,1,0,1,1,1,0,1,0,1,1,0,1</v>
      </c>
      <c r="E85" s="2" t="s">
        <v>33</v>
      </c>
      <c r="G85" s="4" t="str">
        <f>IFERROR(__xludf.DUMMYFUNCTION("join("""",A85:E85)"),"{1,1,0,1,1,0,1,1,1,0,1,0,1,1,0,1},")</f>
        <v>{1,1,0,1,1,0,1,1,1,0,1,0,1,1,0,1},</v>
      </c>
    </row>
    <row r="86">
      <c r="B86" s="2" t="s">
        <v>90</v>
      </c>
      <c r="C86" s="3" t="str">
        <f>IFERROR(__xludf.DUMMYFUNCTION("join("","",'1-4 Level Maps'!S71:AH71)"),"1,0,0,0,0,0,0,1,0,0,0,0,2,0,0,1")</f>
        <v>1,0,0,0,0,0,0,1,0,0,0,0,2,0,0,1</v>
      </c>
      <c r="E86" s="2" t="s">
        <v>33</v>
      </c>
      <c r="G86" s="4" t="str">
        <f>IFERROR(__xludf.DUMMYFUNCTION("join("""",A86:E86)"),"{1,0,0,0,0,0,0,1,0,0,0,0,2,0,0,1},")</f>
        <v>{1,0,0,0,0,0,0,1,0,0,0,0,2,0,0,1},</v>
      </c>
    </row>
    <row r="87">
      <c r="B87" s="2" t="s">
        <v>90</v>
      </c>
      <c r="C87" s="3" t="str">
        <f>IFERROR(__xludf.DUMMYFUNCTION("join("","",'1-4 Level Maps'!S72:AH72)"),"1,1,1,1,1,1,1,1,1,1,0,1,1,1,1,1")</f>
        <v>1,1,1,1,1,1,1,1,1,1,0,1,1,1,1,1</v>
      </c>
      <c r="E87" s="2" t="s">
        <v>33</v>
      </c>
      <c r="G87" s="4" t="str">
        <f>IFERROR(__xludf.DUMMYFUNCTION("join("""",A87:E87)"),"{1,1,1,1,1,1,1,1,1,1,0,1,1,1,1,1},")</f>
        <v>{1,1,1,1,1,1,1,1,1,1,0,1,1,1,1,1},</v>
      </c>
    </row>
    <row r="88">
      <c r="B88" s="2" t="s">
        <v>90</v>
      </c>
      <c r="C88" s="3" t="str">
        <f>IFERROR(__xludf.DUMMYFUNCTION("join("","",'1-4 Level Maps'!S73:AH73)"),"1,5,0,0,0,0,0,0,0,0,0,0,0,0,5,1")</f>
        <v>1,5,0,0,0,0,0,0,0,0,0,0,0,0,5,1</v>
      </c>
      <c r="E88" s="2" t="s">
        <v>33</v>
      </c>
      <c r="G88" s="4" t="str">
        <f>IFERROR(__xludf.DUMMYFUNCTION("join("""",A88:E88)"),"{1,5,0,0,0,0,0,0,0,0,0,0,0,0,5,1},")</f>
        <v>{1,5,0,0,0,0,0,0,0,0,0,0,0,0,5,1},</v>
      </c>
    </row>
    <row r="89">
      <c r="B89" s="2" t="s">
        <v>90</v>
      </c>
      <c r="C89" s="3" t="str">
        <f>IFERROR(__xludf.DUMMYFUNCTION("join("","",'1-4 Level Maps'!S74:AH74)"),"1,1,0,1,5,1,1,0,1,0,5,1,0,1,1,1")</f>
        <v>1,1,0,1,5,1,1,0,1,0,5,1,0,1,1,1</v>
      </c>
      <c r="E89" s="2" t="s">
        <v>33</v>
      </c>
      <c r="G89" s="4" t="str">
        <f>IFERROR(__xludf.DUMMYFUNCTION("join("""",A89:E89)"),"{1,1,0,1,5,1,1,0,1,0,5,1,0,1,1,1},")</f>
        <v>{1,1,0,1,5,1,1,0,1,0,5,1,0,1,1,1},</v>
      </c>
    </row>
    <row r="90">
      <c r="B90" s="2" t="s">
        <v>90</v>
      </c>
      <c r="C90" s="3" t="str">
        <f>IFERROR(__xludf.DUMMYFUNCTION("join("","",'1-4 Level Maps'!S75:AH75)"),"1,0,0,0,0,0,0,0,1,0,0,0,0,0,4,1")</f>
        <v>1,0,0,0,0,0,0,0,1,0,0,0,0,0,4,1</v>
      </c>
      <c r="E90" s="2" t="s">
        <v>33</v>
      </c>
      <c r="G90" s="4" t="str">
        <f>IFERROR(__xludf.DUMMYFUNCTION("join("""",A90:E90)"),"{1,0,0,0,0,0,0,0,1,0,0,0,0,0,4,1},")</f>
        <v>{1,0,0,0,0,0,0,0,1,0,0,0,0,0,4,1},</v>
      </c>
    </row>
    <row r="91">
      <c r="B91" s="2" t="s">
        <v>90</v>
      </c>
      <c r="C91" s="3" t="str">
        <f>IFERROR(__xludf.DUMMYFUNCTION("join("","",'1-4 Level Maps'!S76:AH76)"),"1,1,1,1,1,1,1,1,1,1,1,1,1,1,1,1")</f>
        <v>1,1,1,1,1,1,1,1,1,1,1,1,1,1,1,1</v>
      </c>
      <c r="E91" s="2" t="s">
        <v>33</v>
      </c>
      <c r="G91" s="4" t="str">
        <f>IFERROR(__xludf.DUMMYFUNCTION("join("""",A91:E91)"),"{1,1,1,1,1,1,1,1,1,1,1,1,1,1,1,1},")</f>
        <v>{1,1,1,1,1,1,1,1,1,1,1,1,1,1,1,1},</v>
      </c>
    </row>
    <row r="92">
      <c r="A92" s="2" t="s">
        <v>33</v>
      </c>
      <c r="G92" s="4" t="str">
        <f>IFERROR(__xludf.DUMMYFUNCTION("join("""",A92:E92)"),"},")</f>
        <v>},</v>
      </c>
    </row>
    <row r="93">
      <c r="A93" s="2" t="s">
        <v>53</v>
      </c>
      <c r="G93" s="4" t="str">
        <f>IFERROR(__xludf.DUMMYFUNCTION("join("""",A93:E93)"),"{   /* Zone B */")</f>
        <v>{   /* Zone B */</v>
      </c>
    </row>
    <row r="94">
      <c r="B94" s="2" t="s">
        <v>90</v>
      </c>
      <c r="C94" s="3" t="str">
        <f>IFERROR(__xludf.DUMMYFUNCTION("join("","",'1-4 Level Maps'!S79:AH79)"),"1,1,1,1,1,1,1,1,1,1,1,1,1,1,1,1")</f>
        <v>1,1,1,1,1,1,1,1,1,1,1,1,1,1,1,1</v>
      </c>
      <c r="E94" s="2" t="s">
        <v>33</v>
      </c>
      <c r="G94" s="4" t="str">
        <f>IFERROR(__xludf.DUMMYFUNCTION("join("""",A94:E94)"),"{1,1,1,1,1,1,1,1,1,1,1,1,1,1,1,1},")</f>
        <v>{1,1,1,1,1,1,1,1,1,1,1,1,1,1,1,1},</v>
      </c>
    </row>
    <row r="95">
      <c r="B95" s="2" t="s">
        <v>90</v>
      </c>
      <c r="C95" s="3" t="str">
        <f>IFERROR(__xludf.DUMMYFUNCTION("join("","",'1-4 Level Maps'!S80:AH80)"),"1,5,0,4,1,0,0,0,0,0,1,0,0,4,0,1")</f>
        <v>1,5,0,4,1,0,0,0,0,0,1,0,0,4,0,1</v>
      </c>
      <c r="E95" s="2" t="s">
        <v>33</v>
      </c>
      <c r="G95" s="4" t="str">
        <f>IFERROR(__xludf.DUMMYFUNCTION("join("""",A95:E95)"),"{1,5,0,4,1,0,0,0,0,0,1,0,0,4,0,1},")</f>
        <v>{1,5,0,4,1,0,0,0,0,0,1,0,0,4,0,1},</v>
      </c>
    </row>
    <row r="96">
      <c r="B96" s="2" t="s">
        <v>90</v>
      </c>
      <c r="C96" s="3" t="str">
        <f>IFERROR(__xludf.DUMMYFUNCTION("join("","",'1-4 Level Maps'!S81:AH81)"),"1,1,0,1,1,0,1,1,1,0,1,0,1,1,5,1")</f>
        <v>1,1,0,1,1,0,1,1,1,0,1,0,1,1,5,1</v>
      </c>
      <c r="E96" s="2" t="s">
        <v>33</v>
      </c>
      <c r="G96" s="4" t="str">
        <f>IFERROR(__xludf.DUMMYFUNCTION("join("""",A96:E96)"),"{1,1,0,1,1,0,1,1,1,0,1,0,1,1,5,1},")</f>
        <v>{1,1,0,1,1,0,1,1,1,0,1,0,1,1,5,1},</v>
      </c>
    </row>
    <row r="97">
      <c r="B97" s="2" t="s">
        <v>90</v>
      </c>
      <c r="C97" s="3" t="str">
        <f>IFERROR(__xludf.DUMMYFUNCTION("join("","",'1-4 Level Maps'!S82:AH82)"),"1,0,0,0,0,0,5,1,5,0,0,0,0,0,1,1")</f>
        <v>1,0,0,0,0,0,5,1,5,0,0,0,0,0,1,1</v>
      </c>
      <c r="E97" s="2" t="s">
        <v>33</v>
      </c>
      <c r="G97" s="4" t="str">
        <f>IFERROR(__xludf.DUMMYFUNCTION("join("""",A97:E97)"),"{1,0,0,0,0,0,5,1,5,0,0,0,0,0,1,1},")</f>
        <v>{1,0,0,0,0,0,5,1,5,0,0,0,0,0,1,1},</v>
      </c>
    </row>
    <row r="98">
      <c r="B98" s="2" t="s">
        <v>90</v>
      </c>
      <c r="C98" s="3" t="str">
        <f>IFERROR(__xludf.DUMMYFUNCTION("join("","",'1-4 Level Maps'!S83:AH83)"),"1,0,1,1,1,0,1,1,1,1,0,1,1,1,1,1")</f>
        <v>1,0,1,1,1,0,1,1,1,1,0,1,1,1,1,1</v>
      </c>
      <c r="E98" s="2" t="s">
        <v>33</v>
      </c>
      <c r="G98" s="4" t="str">
        <f>IFERROR(__xludf.DUMMYFUNCTION("join("""",A98:E98)"),"{1,0,1,1,1,0,1,1,1,1,0,1,1,1,1,1},")</f>
        <v>{1,0,1,1,1,0,1,1,1,1,0,1,1,1,1,1},</v>
      </c>
    </row>
    <row r="99">
      <c r="B99" s="2" t="s">
        <v>90</v>
      </c>
      <c r="C99" s="3" t="str">
        <f>IFERROR(__xludf.DUMMYFUNCTION("join("","",'1-4 Level Maps'!S84:AH84)"),"1,0,0,0,0,0,0,0,1,0,0,0,0,0,0,1")</f>
        <v>1,0,0,0,0,0,0,0,1,0,0,0,0,0,0,1</v>
      </c>
      <c r="E99" s="2" t="s">
        <v>33</v>
      </c>
      <c r="G99" s="4" t="str">
        <f>IFERROR(__xludf.DUMMYFUNCTION("join("""",A99:E99)"),"{1,0,0,0,0,0,0,0,1,0,0,0,0,0,0,1},")</f>
        <v>{1,0,0,0,0,0,0,0,1,0,0,0,0,0,0,1},</v>
      </c>
    </row>
    <row r="100">
      <c r="B100" s="2" t="s">
        <v>90</v>
      </c>
      <c r="C100" s="3" t="str">
        <f>IFERROR(__xludf.DUMMYFUNCTION("join("","",'1-4 Level Maps'!S85:AH85)"),"1,1,0,1,0,1,1,4,1,0,5,1,0,1,1,1")</f>
        <v>1,1,0,1,0,1,1,4,1,0,5,1,0,1,1,1</v>
      </c>
      <c r="E100" s="2" t="s">
        <v>33</v>
      </c>
      <c r="G100" s="4" t="str">
        <f>IFERROR(__xludf.DUMMYFUNCTION("join("""",A100:E100)"),"{1,1,0,1,0,1,1,4,1,0,5,1,0,1,1,1},")</f>
        <v>{1,1,0,1,0,1,1,4,1,0,5,1,0,1,1,1},</v>
      </c>
    </row>
    <row r="101">
      <c r="B101" s="2" t="s">
        <v>90</v>
      </c>
      <c r="C101" s="3" t="str">
        <f>IFERROR(__xludf.DUMMYFUNCTION("join("","",'1-4 Level Maps'!S86:AH86)"),"1,6,0,0,0,0,0,0,1,0,0,0,0,0,3,1")</f>
        <v>1,6,0,0,0,0,0,0,1,0,0,0,0,0,3,1</v>
      </c>
      <c r="E101" s="2" t="s">
        <v>33</v>
      </c>
      <c r="G101" s="4" t="str">
        <f>IFERROR(__xludf.DUMMYFUNCTION("join("""",A101:E101)"),"{1,6,0,0,0,0,0,0,1,0,0,0,0,0,3,1},")</f>
        <v>{1,6,0,0,0,0,0,0,1,0,0,0,0,0,3,1},</v>
      </c>
    </row>
    <row r="102">
      <c r="B102" s="2" t="s">
        <v>90</v>
      </c>
      <c r="C102" s="3" t="str">
        <f>IFERROR(__xludf.DUMMYFUNCTION("join("","",'1-4 Level Maps'!S87:AH87)"),"1,1,1,1,1,1,1,1,1,1,1,1,1,1,1,1")</f>
        <v>1,1,1,1,1,1,1,1,1,1,1,1,1,1,1,1</v>
      </c>
      <c r="E102" s="2" t="s">
        <v>33</v>
      </c>
      <c r="G102" s="4" t="str">
        <f>IFERROR(__xludf.DUMMYFUNCTION("join("""",A102:E102)"),"{1,1,1,1,1,1,1,1,1,1,1,1,1,1,1,1},")</f>
        <v>{1,1,1,1,1,1,1,1,1,1,1,1,1,1,1,1},</v>
      </c>
    </row>
    <row r="103">
      <c r="A103" s="2" t="s">
        <v>33</v>
      </c>
      <c r="G103" s="4" t="str">
        <f>IFERROR(__xludf.DUMMYFUNCTION("join("""",A103:E103)"),"},")</f>
        <v>},</v>
      </c>
    </row>
    <row r="104">
      <c r="A104" s="2" t="s">
        <v>33</v>
      </c>
      <c r="G104" s="4" t="str">
        <f>IFERROR(__xludf.DUMMYFUNCTION("join("""",A104:E104)"),"},")</f>
        <v>},</v>
      </c>
    </row>
    <row r="105">
      <c r="A105" s="2" t="s">
        <v>94</v>
      </c>
      <c r="G105" s="4" t="str">
        <f>IFERROR(__xludf.DUMMYFUNCTION("join("""",A105:E105)"),"{ /* Level 4 - Chamber 4 (purple) */")</f>
        <v>{ /* Level 4 - Chamber 4 (purple) */</v>
      </c>
    </row>
    <row r="106">
      <c r="A106" s="2" t="s">
        <v>89</v>
      </c>
      <c r="G106" s="4" t="str">
        <f>IFERROR(__xludf.DUMMYFUNCTION("join("""",A106:E106)"),"{   /* Zone A */")</f>
        <v>{   /* Zone A */</v>
      </c>
    </row>
    <row r="107">
      <c r="B107" s="2" t="s">
        <v>90</v>
      </c>
      <c r="C107" s="3" t="str">
        <f>IFERROR(__xludf.DUMMYFUNCTION("join("","",'5-8 Level Maps'!S3:AH3)"),"1,1,1,1,1,1,1,1,1,1,1,1,1,1,1,1")</f>
        <v>1,1,1,1,1,1,1,1,1,1,1,1,1,1,1,1</v>
      </c>
      <c r="E107" s="2" t="s">
        <v>33</v>
      </c>
      <c r="G107" s="4" t="str">
        <f>IFERROR(__xludf.DUMMYFUNCTION("join("""",A107:E107)"),"{1,1,1,1,1,1,1,1,1,1,1,1,1,1,1,1},")</f>
        <v>{1,1,1,1,1,1,1,1,1,1,1,1,1,1,1,1},</v>
      </c>
    </row>
    <row r="108">
      <c r="B108" s="2" t="s">
        <v>90</v>
      </c>
      <c r="C108" s="3" t="str">
        <f>IFERROR(__xludf.DUMMYFUNCTION("join("","",'5-8 Level Maps'!S4:AH4)"),"1,2,0,0,1,0,5,1,0,4,0,1,4,0,0,1")</f>
        <v>1,2,0,0,1,0,5,1,0,4,0,1,4,0,0,1</v>
      </c>
      <c r="E108" s="2" t="s">
        <v>33</v>
      </c>
      <c r="G108" s="4" t="str">
        <f>IFERROR(__xludf.DUMMYFUNCTION("join("""",A108:E108)"),"{1,2,0,0,1,0,5,1,0,4,0,1,4,0,0,1},")</f>
        <v>{1,2,0,0,1,0,5,1,0,4,0,1,4,0,0,1},</v>
      </c>
    </row>
    <row r="109">
      <c r="B109" s="2" t="s">
        <v>90</v>
      </c>
      <c r="C109" s="3" t="str">
        <f>IFERROR(__xludf.DUMMYFUNCTION("join("","",'5-8 Level Maps'!S5:AH5)"),"1,0,1,0,1,0,1,1,1,0,1,1,1,0,1,1")</f>
        <v>1,0,1,0,1,0,1,1,1,0,1,1,1,0,1,1</v>
      </c>
      <c r="E109" s="2" t="s">
        <v>33</v>
      </c>
      <c r="G109" s="4" t="str">
        <f>IFERROR(__xludf.DUMMYFUNCTION("join("""",A109:E109)"),"{1,0,1,0,1,0,1,1,1,0,1,1,1,0,1,1},")</f>
        <v>{1,0,1,0,1,0,1,1,1,0,1,1,1,0,1,1},</v>
      </c>
    </row>
    <row r="110">
      <c r="B110" s="2" t="s">
        <v>90</v>
      </c>
      <c r="C110" s="3" t="str">
        <f>IFERROR(__xludf.DUMMYFUNCTION("join("","",'5-8 Level Maps'!S6:AH6)"),"1,5,1,0,0,0,0,0,0,0,0,0,0,0,0,1")</f>
        <v>1,5,1,0,0,0,0,0,0,0,0,0,0,0,0,1</v>
      </c>
      <c r="E110" s="2" t="s">
        <v>33</v>
      </c>
      <c r="G110" s="4" t="str">
        <f>IFERROR(__xludf.DUMMYFUNCTION("join("""",A110:E110)"),"{1,5,1,0,0,0,0,0,0,0,0,0,0,0,0,1},")</f>
        <v>{1,5,1,0,0,0,0,0,0,0,0,0,0,0,0,1},</v>
      </c>
    </row>
    <row r="111">
      <c r="B111" s="2" t="s">
        <v>90</v>
      </c>
      <c r="C111" s="3" t="str">
        <f>IFERROR(__xludf.DUMMYFUNCTION("join("","",'5-8 Level Maps'!S7:AH7)"),"1,1,1,0,1,1,1,0,1,1,1,0,1,1,0,1")</f>
        <v>1,1,1,0,1,1,1,0,1,1,1,0,1,1,0,1</v>
      </c>
      <c r="E111" s="2" t="s">
        <v>33</v>
      </c>
      <c r="G111" s="4" t="str">
        <f>IFERROR(__xludf.DUMMYFUNCTION("join("""",A111:E111)"),"{1,1,1,0,1,1,1,0,1,1,1,0,1,1,0,1},")</f>
        <v>{1,1,1,0,1,1,1,0,1,1,1,0,1,1,0,1},</v>
      </c>
    </row>
    <row r="112">
      <c r="B112" s="2" t="s">
        <v>90</v>
      </c>
      <c r="C112" s="3" t="str">
        <f>IFERROR(__xludf.DUMMYFUNCTION("join("","",'5-8 Level Maps'!S8:AH8)"),"1,0,0,0,0,0,0,0,0,0,0,0,0,5,0,1")</f>
        <v>1,0,0,0,0,0,0,0,0,0,0,0,0,5,0,1</v>
      </c>
      <c r="E112" s="2" t="s">
        <v>33</v>
      </c>
      <c r="G112" s="4" t="str">
        <f>IFERROR(__xludf.DUMMYFUNCTION("join("""",A112:E112)"),"{1,0,0,0,0,0,0,0,0,0,0,0,0,5,0,1},")</f>
        <v>{1,0,0,0,0,0,0,0,0,0,0,0,0,5,0,1},</v>
      </c>
    </row>
    <row r="113">
      <c r="B113" s="2" t="s">
        <v>90</v>
      </c>
      <c r="C113" s="3" t="str">
        <f>IFERROR(__xludf.DUMMYFUNCTION("join("","",'5-8 Level Maps'!S9:AH9)"),"1,0,1,1,0,1,5,1,0,1,1,0,1,1,0,1")</f>
        <v>1,0,1,1,0,1,5,1,0,1,1,0,1,1,0,1</v>
      </c>
      <c r="E113" s="2" t="s">
        <v>33</v>
      </c>
      <c r="G113" s="4" t="str">
        <f>IFERROR(__xludf.DUMMYFUNCTION("join("""",A113:E113)"),"{1,0,1,1,0,1,5,1,0,1,1,0,1,1,0,1},")</f>
        <v>{1,0,1,1,0,1,5,1,0,1,1,0,1,1,0,1},</v>
      </c>
    </row>
    <row r="114">
      <c r="B114" s="2" t="s">
        <v>90</v>
      </c>
      <c r="C114" s="3" t="str">
        <f>IFERROR(__xludf.DUMMYFUNCTION("join("","",'5-8 Level Maps'!S10:AH10)"),"1,0,0,0,0,0,0,0,0,0,0,0,0,0,6,1")</f>
        <v>1,0,0,0,0,0,0,0,0,0,0,0,0,0,6,1</v>
      </c>
      <c r="E114" s="2" t="s">
        <v>33</v>
      </c>
      <c r="G114" s="4" t="str">
        <f>IFERROR(__xludf.DUMMYFUNCTION("join("""",A114:E114)"),"{1,0,0,0,0,0,0,0,0,0,0,0,0,0,6,1},")</f>
        <v>{1,0,0,0,0,0,0,0,0,0,0,0,0,0,6,1},</v>
      </c>
    </row>
    <row r="115">
      <c r="B115" s="2" t="s">
        <v>90</v>
      </c>
      <c r="C115" s="3" t="str">
        <f>IFERROR(__xludf.DUMMYFUNCTION("join("","",'5-8 Level Maps'!S11:AH11)"),"1,1,1,1,1,1,1,1,1,1,1,1,1,1,1,1")</f>
        <v>1,1,1,1,1,1,1,1,1,1,1,1,1,1,1,1</v>
      </c>
      <c r="E115" s="2" t="s">
        <v>33</v>
      </c>
      <c r="G115" s="4" t="str">
        <f>IFERROR(__xludf.DUMMYFUNCTION("join("""",A115:E115)"),"{1,1,1,1,1,1,1,1,1,1,1,1,1,1,1,1},")</f>
        <v>{1,1,1,1,1,1,1,1,1,1,1,1,1,1,1,1},</v>
      </c>
    </row>
    <row r="116">
      <c r="A116" s="2" t="s">
        <v>33</v>
      </c>
      <c r="G116" s="4" t="str">
        <f>IFERROR(__xludf.DUMMYFUNCTION("join("""",A116:E116)"),"},")</f>
        <v>},</v>
      </c>
    </row>
    <row r="117">
      <c r="A117" s="2" t="s">
        <v>53</v>
      </c>
      <c r="G117" s="4" t="str">
        <f>IFERROR(__xludf.DUMMYFUNCTION("join("""",A117:E117)"),"{   /* Zone B */")</f>
        <v>{   /* Zone B */</v>
      </c>
    </row>
    <row r="118">
      <c r="B118" s="2" t="s">
        <v>90</v>
      </c>
      <c r="C118" s="3" t="str">
        <f>IFERROR(__xludf.DUMMYFUNCTION("join("","",'5-8 Level Maps'!S14:AH14)"),"1,1,1,1,1,1,1,1,1,1,1,1,1,1,1,1")</f>
        <v>1,1,1,1,1,1,1,1,1,1,1,1,1,1,1,1</v>
      </c>
      <c r="E118" s="2" t="s">
        <v>33</v>
      </c>
      <c r="G118" s="4" t="str">
        <f>IFERROR(__xludf.DUMMYFUNCTION("join("""",A118:E118)"),"{1,1,1,1,1,1,1,1,1,1,1,1,1,1,1,1},")</f>
        <v>{1,1,1,1,1,1,1,1,1,1,1,1,1,1,1,1},</v>
      </c>
    </row>
    <row r="119">
      <c r="B119" s="2" t="s">
        <v>90</v>
      </c>
      <c r="C119" s="3" t="str">
        <f>IFERROR(__xludf.DUMMYFUNCTION("join("","",'5-8 Level Maps'!S15:AH15)"),"1,0,0,0,1,0,4,1,4,0,5,1,0,0,0,1")</f>
        <v>1,0,0,0,1,0,4,1,4,0,5,1,0,0,0,1</v>
      </c>
      <c r="E119" s="2" t="s">
        <v>33</v>
      </c>
      <c r="G119" s="4" t="str">
        <f>IFERROR(__xludf.DUMMYFUNCTION("join("""",A119:E119)"),"{1,0,0,0,1,0,4,1,4,0,5,1,0,0,0,1},")</f>
        <v>{1,0,0,0,1,0,4,1,4,0,5,1,0,0,0,1},</v>
      </c>
    </row>
    <row r="120">
      <c r="B120" s="2" t="s">
        <v>90</v>
      </c>
      <c r="C120" s="3" t="str">
        <f>IFERROR(__xludf.DUMMYFUNCTION("join("","",'5-8 Level Maps'!S16:AH16)"),"1,0,1,0,1,0,1,1,1,0,1,1,1,0,5,1")</f>
        <v>1,0,1,0,1,0,1,1,1,0,1,1,1,0,5,1</v>
      </c>
      <c r="E120" s="2" t="s">
        <v>33</v>
      </c>
      <c r="G120" s="4" t="str">
        <f>IFERROR(__xludf.DUMMYFUNCTION("join("""",A120:E120)"),"{1,0,1,0,1,0,1,1,1,0,1,1,1,0,5,1},")</f>
        <v>{1,0,1,0,1,0,1,1,1,0,1,1,1,0,5,1},</v>
      </c>
    </row>
    <row r="121">
      <c r="B121" s="2" t="s">
        <v>90</v>
      </c>
      <c r="C121" s="3" t="str">
        <f>IFERROR(__xludf.DUMMYFUNCTION("join("","",'5-8 Level Maps'!S17:AH17)"),"1,4,1,0,0,0,0,0,0,0,0,0,0,0,1,1")</f>
        <v>1,4,1,0,0,0,0,0,0,0,0,0,0,0,1,1</v>
      </c>
      <c r="E121" s="2" t="s">
        <v>33</v>
      </c>
      <c r="G121" s="4" t="str">
        <f>IFERROR(__xludf.DUMMYFUNCTION("join("""",A121:E121)"),"{1,4,1,0,0,0,0,0,0,0,0,0,0,0,1,1},")</f>
        <v>{1,4,1,0,0,0,0,0,0,0,0,0,0,0,1,1},</v>
      </c>
    </row>
    <row r="122">
      <c r="B122" s="2" t="s">
        <v>90</v>
      </c>
      <c r="C122" s="3" t="str">
        <f>IFERROR(__xludf.DUMMYFUNCTION("join("","",'5-8 Level Maps'!S18:AH18)"),"1,1,1,0,1,1,1,0,1,1,0,0,1,1,1,1")</f>
        <v>1,1,1,0,1,1,1,0,1,1,0,0,1,1,1,1</v>
      </c>
      <c r="E122" s="2" t="s">
        <v>33</v>
      </c>
      <c r="G122" s="4" t="str">
        <f>IFERROR(__xludf.DUMMYFUNCTION("join("""",A122:E122)"),"{1,1,1,0,1,1,1,0,1,1,0,0,1,1,1,1},")</f>
        <v>{1,1,1,0,1,1,1,0,1,1,0,0,1,1,1,1},</v>
      </c>
    </row>
    <row r="123">
      <c r="B123" s="2" t="s">
        <v>90</v>
      </c>
      <c r="C123" s="3" t="str">
        <f>IFERROR(__xludf.DUMMYFUNCTION("join("","",'5-8 Level Maps'!S19:AH19)"),"1,0,0,0,0,0,0,0,0,1,1,0,0,0,0,1")</f>
        <v>1,0,0,0,0,0,0,0,0,1,1,0,0,0,0,1</v>
      </c>
      <c r="E123" s="2" t="s">
        <v>33</v>
      </c>
      <c r="G123" s="4" t="str">
        <f>IFERROR(__xludf.DUMMYFUNCTION("join("""",A123:E123)"),"{1,0,0,0,0,0,0,0,0,1,1,0,0,0,0,1},")</f>
        <v>{1,0,0,0,0,0,0,0,0,1,1,0,0,0,0,1},</v>
      </c>
    </row>
    <row r="124">
      <c r="B124" s="2" t="s">
        <v>90</v>
      </c>
      <c r="C124" s="3" t="str">
        <f>IFERROR(__xludf.DUMMYFUNCTION("join("","",'5-8 Level Maps'!S20:AH20)"),"1,0,1,1,0,1,5,1,0,5,1,0,1,1,0,1")</f>
        <v>1,0,1,1,0,1,5,1,0,5,1,0,1,1,0,1</v>
      </c>
      <c r="E124" s="2" t="s">
        <v>33</v>
      </c>
      <c r="G124" s="4" t="str">
        <f>IFERROR(__xludf.DUMMYFUNCTION("join("""",A124:E124)"),"{1,0,1,1,0,1,5,1,0,5,1,0,1,1,0,1},")</f>
        <v>{1,0,1,1,0,1,5,1,0,5,1,0,1,1,0,1},</v>
      </c>
    </row>
    <row r="125">
      <c r="B125" s="2" t="s">
        <v>90</v>
      </c>
      <c r="C125" s="3" t="str">
        <f>IFERROR(__xludf.DUMMYFUNCTION("join("","",'5-8 Level Maps'!S21:AH21)"),"1,6,0,0,0,0,0,0,0,0,1,0,0,0,3,1")</f>
        <v>1,6,0,0,0,0,0,0,0,0,1,0,0,0,3,1</v>
      </c>
      <c r="E125" s="2" t="s">
        <v>33</v>
      </c>
      <c r="G125" s="4" t="str">
        <f>IFERROR(__xludf.DUMMYFUNCTION("join("""",A125:E125)"),"{1,6,0,0,0,0,0,0,0,0,1,0,0,0,3,1},")</f>
        <v>{1,6,0,0,0,0,0,0,0,0,1,0,0,0,3,1},</v>
      </c>
    </row>
    <row r="126">
      <c r="B126" s="2" t="s">
        <v>90</v>
      </c>
      <c r="C126" s="3" t="str">
        <f>IFERROR(__xludf.DUMMYFUNCTION("join("","",'5-8 Level Maps'!S22:AH22)"),"1,1,1,1,1,1,1,1,1,1,1,1,1,1,1,1")</f>
        <v>1,1,1,1,1,1,1,1,1,1,1,1,1,1,1,1</v>
      </c>
      <c r="E126" s="2" t="s">
        <v>33</v>
      </c>
      <c r="G126" s="4" t="str">
        <f>IFERROR(__xludf.DUMMYFUNCTION("join("""",A126:E126)"),"{1,1,1,1,1,1,1,1,1,1,1,1,1,1,1,1},")</f>
        <v>{1,1,1,1,1,1,1,1,1,1,1,1,1,1,1,1},</v>
      </c>
    </row>
    <row r="127">
      <c r="A127" s="2" t="s">
        <v>33</v>
      </c>
      <c r="G127" s="4" t="str">
        <f>IFERROR(__xludf.DUMMYFUNCTION("join("""",A127:E127)"),"},")</f>
        <v>},</v>
      </c>
    </row>
    <row r="128">
      <c r="A128" s="2" t="s">
        <v>33</v>
      </c>
      <c r="G128" s="4" t="str">
        <f>IFERROR(__xludf.DUMMYFUNCTION("join("""",A128:E128)"),"},")</f>
        <v>},</v>
      </c>
    </row>
    <row r="129">
      <c r="A129" s="2" t="s">
        <v>95</v>
      </c>
      <c r="G129" s="4" t="str">
        <f>IFERROR(__xludf.DUMMYFUNCTION("join("""",A129:E129)"),"{ /* Level 5 - Chamber 5 (blue) */")</f>
        <v>{ /* Level 5 - Chamber 5 (blue) */</v>
      </c>
    </row>
    <row r="130">
      <c r="A130" s="2" t="s">
        <v>89</v>
      </c>
      <c r="G130" s="4" t="str">
        <f>IFERROR(__xludf.DUMMYFUNCTION("join("""",A130:E130)"),"{   /* Zone A */")</f>
        <v>{   /* Zone A */</v>
      </c>
    </row>
    <row r="131">
      <c r="B131" s="2" t="s">
        <v>90</v>
      </c>
      <c r="C131" s="3" t="str">
        <f>IFERROR(__xludf.DUMMYFUNCTION("join("","",'5-8 Level Maps'!S25:AH25)"),"1,1,1,1,1,1,1,1,1,1,1,1,1,1,1,1")</f>
        <v>1,1,1,1,1,1,1,1,1,1,1,1,1,1,1,1</v>
      </c>
      <c r="E131" s="2" t="s">
        <v>33</v>
      </c>
      <c r="G131" s="4" t="str">
        <f>IFERROR(__xludf.DUMMYFUNCTION("join("""",A131:E131)"),"{1,1,1,1,1,1,1,1,1,1,1,1,1,1,1,1},")</f>
        <v>{1,1,1,1,1,1,1,1,1,1,1,1,1,1,1,1},</v>
      </c>
    </row>
    <row r="132">
      <c r="B132" s="2" t="s">
        <v>90</v>
      </c>
      <c r="C132" s="3" t="str">
        <f>IFERROR(__xludf.DUMMYFUNCTION("join("","",'5-8 Level Maps'!S26:AH26)"),"1,0,0,0,1,0,0,0,1,4,0,0,1,0,5,1")</f>
        <v>1,0,0,0,1,0,0,0,1,4,0,0,1,0,5,1</v>
      </c>
      <c r="E132" s="2" t="s">
        <v>33</v>
      </c>
      <c r="G132" s="4" t="str">
        <f>IFERROR(__xludf.DUMMYFUNCTION("join("""",A132:E132)"),"{1,0,0,0,1,0,0,0,1,4,0,0,1,0,5,1},")</f>
        <v>{1,0,0,0,1,0,0,0,1,4,0,0,1,0,5,1},</v>
      </c>
    </row>
    <row r="133">
      <c r="B133" s="2" t="s">
        <v>90</v>
      </c>
      <c r="C133" s="3" t="str">
        <f>IFERROR(__xludf.DUMMYFUNCTION("join("","",'5-8 Level Maps'!S27:AH27)"),"1,5,1,0,1,0,1,0,1,0,1,0,1,0,0,1")</f>
        <v>1,5,1,0,1,0,1,0,1,0,1,0,1,0,0,1</v>
      </c>
      <c r="E133" s="2" t="s">
        <v>33</v>
      </c>
      <c r="G133" s="4" t="str">
        <f>IFERROR(__xludf.DUMMYFUNCTION("join("""",A133:E133)"),"{1,5,1,0,1,0,1,0,1,0,1,0,1,0,0,1},")</f>
        <v>{1,5,1,0,1,0,1,0,1,0,1,0,1,0,0,1},</v>
      </c>
    </row>
    <row r="134">
      <c r="B134" s="2" t="s">
        <v>90</v>
      </c>
      <c r="C134" s="3" t="str">
        <f>IFERROR(__xludf.DUMMYFUNCTION("join("","",'5-8 Level Maps'!S28:AH28)"),"1,0,1,0,0,0,5,0,0,0,1,0,2,0,0,1")</f>
        <v>1,0,1,0,0,0,5,0,0,0,1,0,2,0,0,1</v>
      </c>
      <c r="E134" s="2" t="s">
        <v>33</v>
      </c>
      <c r="G134" s="4" t="str">
        <f>IFERROR(__xludf.DUMMYFUNCTION("join("""",A134:E134)"),"{1,0,1,0,0,0,5,0,0,0,1,0,2,0,0,1},")</f>
        <v>{1,0,1,0,0,0,5,0,0,0,1,0,2,0,0,1},</v>
      </c>
    </row>
    <row r="135">
      <c r="B135" s="2" t="s">
        <v>90</v>
      </c>
      <c r="C135" s="3" t="str">
        <f>IFERROR(__xludf.DUMMYFUNCTION("join("","",'5-8 Level Maps'!S29:AH29)"),"1,0,1,1,1,0,5,5,1,0,1,1,1,0,1,1")</f>
        <v>1,0,1,1,1,0,5,5,1,0,1,1,1,0,1,1</v>
      </c>
      <c r="E135" s="2" t="s">
        <v>33</v>
      </c>
      <c r="G135" s="4" t="str">
        <f>IFERROR(__xludf.DUMMYFUNCTION("join("""",A135:E135)"),"{1,0,1,1,1,0,5,5,1,0,1,1,1,0,1,1},")</f>
        <v>{1,0,1,1,1,0,5,5,1,0,1,1,1,0,1,1},</v>
      </c>
    </row>
    <row r="136">
      <c r="B136" s="2" t="s">
        <v>90</v>
      </c>
      <c r="C136" s="3" t="str">
        <f>IFERROR(__xludf.DUMMYFUNCTION("join("","",'5-8 Level Maps'!S30:AH30)"),"1,0,0,0,0,0,0,0,0,0,0,0,0,0,0,1")</f>
        <v>1,0,0,0,0,0,0,0,0,0,0,0,0,0,0,1</v>
      </c>
      <c r="E136" s="2" t="s">
        <v>33</v>
      </c>
      <c r="G136" s="4" t="str">
        <f>IFERROR(__xludf.DUMMYFUNCTION("join("""",A136:E136)"),"{1,0,0,0,0,0,0,0,0,0,0,0,0,0,0,1},")</f>
        <v>{1,0,0,0,0,0,0,0,0,0,0,0,0,0,0,1},</v>
      </c>
    </row>
    <row r="137">
      <c r="B137" s="2" t="s">
        <v>90</v>
      </c>
      <c r="C137" s="3" t="str">
        <f>IFERROR(__xludf.DUMMYFUNCTION("join("","",'5-8 Level Maps'!S31:AH31)"),"1,1,0,1,5,1,0,1,1,0,4,1,0,1,1,1")</f>
        <v>1,1,0,1,5,1,0,1,1,0,4,1,0,1,1,1</v>
      </c>
      <c r="E137" s="2" t="s">
        <v>33</v>
      </c>
      <c r="G137" s="4" t="str">
        <f>IFERROR(__xludf.DUMMYFUNCTION("join("""",A137:E137)"),"{1,1,0,1,5,1,0,1,1,0,4,1,0,1,1,1},")</f>
        <v>{1,1,0,1,5,1,0,1,1,0,4,1,0,1,1,1},</v>
      </c>
    </row>
    <row r="138">
      <c r="B138" s="2" t="s">
        <v>90</v>
      </c>
      <c r="C138" s="3" t="str">
        <f>IFERROR(__xludf.DUMMYFUNCTION("join("","",'5-8 Level Maps'!S32:AH32)"),"1,0,0,0,0,0,0,0,1,0,0,0,0,0,6,1")</f>
        <v>1,0,0,0,0,0,0,0,1,0,0,0,0,0,6,1</v>
      </c>
      <c r="E138" s="2" t="s">
        <v>33</v>
      </c>
      <c r="G138" s="4" t="str">
        <f>IFERROR(__xludf.DUMMYFUNCTION("join("""",A138:E138)"),"{1,0,0,0,0,0,0,0,1,0,0,0,0,0,6,1},")</f>
        <v>{1,0,0,0,0,0,0,0,1,0,0,0,0,0,6,1},</v>
      </c>
    </row>
    <row r="139">
      <c r="B139" s="2" t="s">
        <v>90</v>
      </c>
      <c r="C139" s="3" t="str">
        <f>IFERROR(__xludf.DUMMYFUNCTION("join("","",'5-8 Level Maps'!S33:AH33)"),"1,1,1,1,1,1,1,1,1,1,1,1,1,1,1,1")</f>
        <v>1,1,1,1,1,1,1,1,1,1,1,1,1,1,1,1</v>
      </c>
      <c r="E139" s="2" t="s">
        <v>33</v>
      </c>
      <c r="G139" s="4" t="str">
        <f>IFERROR(__xludf.DUMMYFUNCTION("join("""",A139:E139)"),"{1,1,1,1,1,1,1,1,1,1,1,1,1,1,1,1},")</f>
        <v>{1,1,1,1,1,1,1,1,1,1,1,1,1,1,1,1},</v>
      </c>
    </row>
    <row r="140">
      <c r="A140" s="2" t="s">
        <v>33</v>
      </c>
      <c r="G140" s="4" t="str">
        <f>IFERROR(__xludf.DUMMYFUNCTION("join("""",A140:E140)"),"},")</f>
        <v>},</v>
      </c>
    </row>
    <row r="141">
      <c r="A141" s="2" t="s">
        <v>53</v>
      </c>
      <c r="G141" s="4" t="str">
        <f>IFERROR(__xludf.DUMMYFUNCTION("join("""",A141:E141)"),"{   /* Zone B */")</f>
        <v>{   /* Zone B */</v>
      </c>
    </row>
    <row r="142">
      <c r="B142" s="2" t="s">
        <v>90</v>
      </c>
      <c r="C142" s="3" t="str">
        <f>IFERROR(__xludf.DUMMYFUNCTION("join("","",'5-8 Level Maps'!S36:AH36)"),"1,1,1,1,1,1,1,1,1,1,1,1,1,1,1,1")</f>
        <v>1,1,1,1,1,1,1,1,1,1,1,1,1,1,1,1</v>
      </c>
      <c r="E142" s="2" t="s">
        <v>33</v>
      </c>
      <c r="G142" s="4" t="str">
        <f>IFERROR(__xludf.DUMMYFUNCTION("join("""",A142:E142)"),"{1,1,1,1,1,1,1,1,1,1,1,1,1,1,1,1},")</f>
        <v>{1,1,1,1,1,1,1,1,1,1,1,1,1,1,1,1},</v>
      </c>
    </row>
    <row r="143">
      <c r="B143" s="2" t="s">
        <v>90</v>
      </c>
      <c r="C143" s="3" t="str">
        <f>IFERROR(__xludf.DUMMYFUNCTION("join("","",'5-8 Level Maps'!S37:AH37)"),"1,4,0,0,1,0,0,0,1,0,0,0,1,0,5,1")</f>
        <v>1,4,0,0,1,0,0,0,1,0,0,0,1,0,5,1</v>
      </c>
      <c r="E143" s="2" t="s">
        <v>33</v>
      </c>
      <c r="G143" s="4" t="str">
        <f>IFERROR(__xludf.DUMMYFUNCTION("join("""",A143:E143)"),"{1,4,0,0,1,0,0,0,1,0,0,0,1,0,5,1},")</f>
        <v>{1,4,0,0,1,0,0,0,1,0,0,0,1,0,5,1},</v>
      </c>
    </row>
    <row r="144">
      <c r="B144" s="2" t="s">
        <v>90</v>
      </c>
      <c r="C144" s="3" t="str">
        <f>IFERROR(__xludf.DUMMYFUNCTION("join("","",'5-8 Level Maps'!S38:AH38)"),"1,5,1,0,1,0,1,4,1,0,1,0,1,0,4,1")</f>
        <v>1,5,1,0,1,0,1,4,1,0,1,0,1,0,4,1</v>
      </c>
      <c r="E144" s="2" t="s">
        <v>33</v>
      </c>
      <c r="G144" s="4" t="str">
        <f>IFERROR(__xludf.DUMMYFUNCTION("join("""",A144:E144)"),"{1,5,1,0,1,0,1,4,1,0,1,0,1,0,4,1},")</f>
        <v>{1,5,1,0,1,0,1,4,1,0,1,0,1,0,4,1},</v>
      </c>
    </row>
    <row r="145">
      <c r="B145" s="2" t="s">
        <v>90</v>
      </c>
      <c r="C145" s="3" t="str">
        <f>IFERROR(__xludf.DUMMYFUNCTION("join("","",'5-8 Level Maps'!S39:AH39)"),"1,0,1,0,0,0,1,0,0,0,1,0,0,0,1,1")</f>
        <v>1,0,1,0,0,0,1,0,0,0,1,0,0,0,1,1</v>
      </c>
      <c r="E145" s="2" t="s">
        <v>33</v>
      </c>
      <c r="G145" s="4" t="str">
        <f>IFERROR(__xludf.DUMMYFUNCTION("join("""",A145:E145)"),"{1,0,1,0,0,0,1,0,0,0,1,0,0,0,1,1},")</f>
        <v>{1,0,1,0,0,0,1,0,0,0,1,0,0,0,1,1},</v>
      </c>
    </row>
    <row r="146">
      <c r="B146" s="2" t="s">
        <v>90</v>
      </c>
      <c r="C146" s="3" t="str">
        <f>IFERROR(__xludf.DUMMYFUNCTION("join("","",'5-8 Level Maps'!S40:AH40)"),"1,0,1,1,1,0,1,1,1,0,1,1,1,1,1,1")</f>
        <v>1,0,1,1,1,0,1,1,1,0,1,1,1,1,1,1</v>
      </c>
      <c r="E146" s="2" t="s">
        <v>33</v>
      </c>
      <c r="G146" s="4" t="str">
        <f>IFERROR(__xludf.DUMMYFUNCTION("join("""",A146:E146)"),"{1,0,1,1,1,0,1,1,1,0,1,1,1,1,1,1},")</f>
        <v>{1,0,1,1,1,0,1,1,1,0,1,1,1,1,1,1},</v>
      </c>
    </row>
    <row r="147">
      <c r="B147" s="2" t="s">
        <v>90</v>
      </c>
      <c r="C147" s="3" t="str">
        <f>IFERROR(__xludf.DUMMYFUNCTION("join("","",'5-8 Level Maps'!S41:AH41)"),"1,0,0,0,0,0,0,1,0,0,0,0,0,0,4,1")</f>
        <v>1,0,0,0,0,0,0,1,0,0,0,0,0,0,4,1</v>
      </c>
      <c r="E147" s="2" t="s">
        <v>33</v>
      </c>
      <c r="G147" s="4" t="str">
        <f>IFERROR(__xludf.DUMMYFUNCTION("join("""",A147:E147)"),"{1,0,0,0,0,0,0,1,0,0,0,0,0,0,4,1},")</f>
        <v>{1,0,0,0,0,0,0,1,0,0,0,0,0,0,4,1},</v>
      </c>
    </row>
    <row r="148">
      <c r="B148" s="2" t="s">
        <v>90</v>
      </c>
      <c r="C148" s="3" t="str">
        <f>IFERROR(__xludf.DUMMYFUNCTION("join("","",'5-8 Level Maps'!S42:AH42)"),"1,1,0,1,5,1,0,1,1,0,5,1,0,1,1,1")</f>
        <v>1,1,0,1,5,1,0,1,1,0,5,1,0,1,1,1</v>
      </c>
      <c r="E148" s="2" t="s">
        <v>33</v>
      </c>
      <c r="G148" s="4" t="str">
        <f>IFERROR(__xludf.DUMMYFUNCTION("join("""",A148:E148)"),"{1,1,0,1,5,1,0,1,1,0,5,1,0,1,1,1},")</f>
        <v>{1,1,0,1,5,1,0,1,1,0,5,1,0,1,1,1},</v>
      </c>
    </row>
    <row r="149">
      <c r="B149" s="2" t="s">
        <v>90</v>
      </c>
      <c r="C149" s="3" t="str">
        <f>IFERROR(__xludf.DUMMYFUNCTION("join("","",'5-8 Level Maps'!S43:AH43)"),"1,6,0,0,0,0,0,5,1,0,0,0,0,0,3,1")</f>
        <v>1,6,0,0,0,0,0,5,1,0,0,0,0,0,3,1</v>
      </c>
      <c r="E149" s="2" t="s">
        <v>33</v>
      </c>
      <c r="G149" s="4" t="str">
        <f>IFERROR(__xludf.DUMMYFUNCTION("join("""",A149:E149)"),"{1,6,0,0,0,0,0,5,1,0,0,0,0,0,3,1},")</f>
        <v>{1,6,0,0,0,0,0,5,1,0,0,0,0,0,3,1},</v>
      </c>
    </row>
    <row r="150">
      <c r="B150" s="2" t="s">
        <v>90</v>
      </c>
      <c r="C150" s="3" t="str">
        <f>IFERROR(__xludf.DUMMYFUNCTION("join("","",'5-8 Level Maps'!S44:AH44)"),"1,1,1,1,1,1,1,1,1,1,1,1,1,1,1,1")</f>
        <v>1,1,1,1,1,1,1,1,1,1,1,1,1,1,1,1</v>
      </c>
      <c r="E150" s="2" t="s">
        <v>33</v>
      </c>
      <c r="G150" s="4" t="str">
        <f>IFERROR(__xludf.DUMMYFUNCTION("join("""",A150:E150)"),"{1,1,1,1,1,1,1,1,1,1,1,1,1,1,1,1},")</f>
        <v>{1,1,1,1,1,1,1,1,1,1,1,1,1,1,1,1},</v>
      </c>
    </row>
    <row r="151">
      <c r="A151" s="2" t="s">
        <v>33</v>
      </c>
      <c r="G151" s="4" t="str">
        <f>IFERROR(__xludf.DUMMYFUNCTION("join("""",A151:E151)"),"},")</f>
        <v>},</v>
      </c>
    </row>
    <row r="152">
      <c r="A152" s="2" t="s">
        <v>33</v>
      </c>
      <c r="G152" s="4" t="str">
        <f>IFERROR(__xludf.DUMMYFUNCTION("join("""",A152:E152)"),"},")</f>
        <v>},</v>
      </c>
    </row>
    <row r="153">
      <c r="A153" s="2" t="s">
        <v>96</v>
      </c>
      <c r="G153" s="4" t="str">
        <f>IFERROR(__xludf.DUMMYFUNCTION("join("""",A153:E153)"),"{ /* Level 6 - Chamber 6(blue) */")</f>
        <v>{ /* Level 6 - Chamber 6(blue) */</v>
      </c>
    </row>
    <row r="154">
      <c r="A154" s="2" t="s">
        <v>89</v>
      </c>
      <c r="G154" s="4" t="str">
        <f>IFERROR(__xludf.DUMMYFUNCTION("join("""",A154:E154)"),"{   /* Zone A */")</f>
        <v>{   /* Zone A */</v>
      </c>
    </row>
    <row r="155">
      <c r="B155" s="2" t="s">
        <v>90</v>
      </c>
      <c r="C155" s="3" t="str">
        <f>IFERROR(__xludf.DUMMYFUNCTION("join("","",'5-8 Level Maps'!S46:AH46)"),"1,1,1,1,1,1,1,1,1,1,1,1,1,1,1,1")</f>
        <v>1,1,1,1,1,1,1,1,1,1,1,1,1,1,1,1</v>
      </c>
      <c r="E155" s="2" t="s">
        <v>33</v>
      </c>
      <c r="G155" s="4" t="str">
        <f>IFERROR(__xludf.DUMMYFUNCTION("join("""",A155:E155)"),"{1,1,1,1,1,1,1,1,1,1,1,1,1,1,1,1},")</f>
        <v>{1,1,1,1,1,1,1,1,1,1,1,1,1,1,1,1},</v>
      </c>
    </row>
    <row r="156">
      <c r="B156" s="2" t="s">
        <v>90</v>
      </c>
      <c r="C156" s="3" t="str">
        <f>IFERROR(__xludf.DUMMYFUNCTION("join("","",'5-8 Level Maps'!S47:AH47)"),"1,0,0,4,1,0,0,0,0,4,1,5,0,0,5,1")</f>
        <v>1,0,0,4,1,0,0,0,0,4,1,5,0,0,5,1</v>
      </c>
      <c r="E156" s="2" t="s">
        <v>33</v>
      </c>
      <c r="G156" s="4" t="str">
        <f>IFERROR(__xludf.DUMMYFUNCTION("join("""",A156:E156)"),"{1,0,0,4,1,0,0,0,0,4,1,5,0,0,5,1},")</f>
        <v>{1,0,0,4,1,0,0,0,0,4,1,5,0,0,5,1},</v>
      </c>
    </row>
    <row r="157">
      <c r="B157" s="2" t="s">
        <v>90</v>
      </c>
      <c r="C157" s="3" t="str">
        <f>IFERROR(__xludf.DUMMYFUNCTION("join("","",'5-8 Level Maps'!S48:AH48)"),"1,0,1,1,1,0,1,5,1,0,1,1,1,0,0,1")</f>
        <v>1,0,1,1,1,0,1,5,1,0,1,1,1,0,0,1</v>
      </c>
      <c r="E157" s="2" t="s">
        <v>33</v>
      </c>
      <c r="G157" s="4" t="str">
        <f>IFERROR(__xludf.DUMMYFUNCTION("join("""",A157:E157)"),"{1,0,1,1,1,0,1,5,1,0,1,1,1,0,0,1},")</f>
        <v>{1,0,1,1,1,0,1,5,1,0,1,1,1,0,0,1},</v>
      </c>
    </row>
    <row r="158">
      <c r="B158" s="2" t="s">
        <v>90</v>
      </c>
      <c r="C158" s="3" t="str">
        <f>IFERROR(__xludf.DUMMYFUNCTION("join("","",'5-8 Level Maps'!S49:AH49)"),"1,0,0,0,0,0,1,0,0,0,0,0,2,0,0,1")</f>
        <v>1,0,0,0,0,0,1,0,0,0,0,0,2,0,0,1</v>
      </c>
      <c r="E158" s="2" t="s">
        <v>33</v>
      </c>
      <c r="G158" s="4" t="str">
        <f>IFERROR(__xludf.DUMMYFUNCTION("join("""",A158:E158)"),"{1,0,0,0,0,0,1,0,0,0,0,0,2,0,0,1},")</f>
        <v>{1,0,0,0,0,0,1,0,0,0,0,0,2,0,0,1},</v>
      </c>
    </row>
    <row r="159">
      <c r="B159" s="2" t="s">
        <v>90</v>
      </c>
      <c r="C159" s="3" t="str">
        <f>IFERROR(__xludf.DUMMYFUNCTION("join("","",'5-8 Level Maps'!S50:AH50)"),"1,1,0,1,1,1,1,0,1,1,1,0,1,1,1,1")</f>
        <v>1,1,0,1,1,1,1,0,1,1,1,0,1,1,1,1</v>
      </c>
      <c r="E159" s="2" t="s">
        <v>33</v>
      </c>
      <c r="G159" s="4" t="str">
        <f>IFERROR(__xludf.DUMMYFUNCTION("join("""",A159:E159)"),"{1,1,0,1,1,1,1,0,1,1,1,0,1,1,1,1},")</f>
        <v>{1,1,0,1,1,1,1,0,1,1,1,0,1,1,1,1},</v>
      </c>
    </row>
    <row r="160">
      <c r="B160" s="2" t="s">
        <v>90</v>
      </c>
      <c r="C160" s="3" t="str">
        <f>IFERROR(__xludf.DUMMYFUNCTION("join("","",'5-8 Level Maps'!S51:AH51)"),"1,0,0,0,0,0,0,0,4,0,5,0,0,0,0,1")</f>
        <v>1,0,0,0,0,0,0,0,4,0,5,0,0,0,0,1</v>
      </c>
      <c r="E160" s="2" t="s">
        <v>33</v>
      </c>
      <c r="G160" s="4" t="str">
        <f>IFERROR(__xludf.DUMMYFUNCTION("join("""",A160:E160)"),"{1,0,0,0,0,0,0,0,4,0,5,0,0,0,0,1},")</f>
        <v>{1,0,0,0,0,0,0,0,4,0,5,0,0,0,0,1},</v>
      </c>
    </row>
    <row r="161">
      <c r="B161" s="2" t="s">
        <v>90</v>
      </c>
      <c r="C161" s="3" t="str">
        <f>IFERROR(__xludf.DUMMYFUNCTION("join("","",'5-8 Level Maps'!S52:AH52)"),"1,0,1,5,0,1,1,0,1,0,1,1,0,5,1,1")</f>
        <v>1,0,1,5,0,1,1,0,1,0,1,1,0,5,1,1</v>
      </c>
      <c r="E161" s="2" t="s">
        <v>33</v>
      </c>
      <c r="G161" s="4" t="str">
        <f>IFERROR(__xludf.DUMMYFUNCTION("join("""",A161:E161)"),"{1,0,1,5,0,1,1,0,1,0,1,1,0,5,1,1},")</f>
        <v>{1,0,1,5,0,1,1,0,1,0,1,1,0,5,1,1},</v>
      </c>
    </row>
    <row r="162">
      <c r="B162" s="2" t="s">
        <v>90</v>
      </c>
      <c r="C162" s="3" t="str">
        <f>IFERROR(__xludf.DUMMYFUNCTION("join("","",'5-8 Level Maps'!S53:AH53)"),"1,0,0,0,0,0,0,0,0,0,0,0,0,0,6,1")</f>
        <v>1,0,0,0,0,0,0,0,0,0,0,0,0,0,6,1</v>
      </c>
      <c r="E162" s="2" t="s">
        <v>33</v>
      </c>
      <c r="G162" s="4" t="str">
        <f>IFERROR(__xludf.DUMMYFUNCTION("join("""",A162:E162)"),"{1,0,0,0,0,0,0,0,0,0,0,0,0,0,6,1},")</f>
        <v>{1,0,0,0,0,0,0,0,0,0,0,0,0,0,6,1},</v>
      </c>
    </row>
    <row r="163">
      <c r="B163" s="2" t="s">
        <v>90</v>
      </c>
      <c r="C163" s="3" t="str">
        <f>IFERROR(__xludf.DUMMYFUNCTION("join("","",'5-8 Level Maps'!S54:AH54)"),"1,1,1,1,1,1,1,1,1,1,1,1,1,1,1,1")</f>
        <v>1,1,1,1,1,1,1,1,1,1,1,1,1,1,1,1</v>
      </c>
      <c r="E163" s="2" t="s">
        <v>33</v>
      </c>
      <c r="G163" s="4" t="str">
        <f>IFERROR(__xludf.DUMMYFUNCTION("join("""",A163:E163)"),"{1,1,1,1,1,1,1,1,1,1,1,1,1,1,1,1},")</f>
        <v>{1,1,1,1,1,1,1,1,1,1,1,1,1,1,1,1},</v>
      </c>
    </row>
    <row r="164">
      <c r="A164" s="2" t="s">
        <v>33</v>
      </c>
      <c r="G164" s="4" t="str">
        <f>IFERROR(__xludf.DUMMYFUNCTION("join("""",A164:E164)"),"},")</f>
        <v>},</v>
      </c>
    </row>
    <row r="165">
      <c r="A165" s="2" t="s">
        <v>53</v>
      </c>
      <c r="G165" s="4" t="str">
        <f>IFERROR(__xludf.DUMMYFUNCTION("join("""",A165:E165)"),"{   /* Zone B */")</f>
        <v>{   /* Zone B */</v>
      </c>
    </row>
    <row r="166">
      <c r="B166" s="2" t="s">
        <v>90</v>
      </c>
      <c r="C166" s="3" t="str">
        <f>IFERROR(__xludf.DUMMYFUNCTION("join("","",'5-8 Level Maps'!S57:AH57)"),"1,1,1,1,1,1,1,1,1,1,1,1,1,1,1,1")</f>
        <v>1,1,1,1,1,1,1,1,1,1,1,1,1,1,1,1</v>
      </c>
      <c r="E166" s="2" t="s">
        <v>33</v>
      </c>
      <c r="G166" s="4" t="str">
        <f>IFERROR(__xludf.DUMMYFUNCTION("join("""",A166:E166)"),"{1,1,1,1,1,1,1,1,1,1,1,1,1,1,1,1},")</f>
        <v>{1,1,1,1,1,1,1,1,1,1,1,1,1,1,1,1},</v>
      </c>
    </row>
    <row r="167">
      <c r="B167" s="2" t="s">
        <v>90</v>
      </c>
      <c r="C167" s="3" t="str">
        <f>IFERROR(__xludf.DUMMYFUNCTION("join("","",'5-8 Level Maps'!S58:AH58)"),"1,0,4,4,1,0,0,0,0,0,1,0,0,0,0,1")</f>
        <v>1,0,4,4,1,0,0,0,0,0,1,0,0,0,0,1</v>
      </c>
      <c r="E167" s="2" t="s">
        <v>33</v>
      </c>
      <c r="G167" s="4" t="str">
        <f>IFERROR(__xludf.DUMMYFUNCTION("join("""",A167:E167)"),"{1,0,4,4,1,0,0,0,0,0,1,0,0,0,0,1},")</f>
        <v>{1,0,4,4,1,0,0,0,0,0,1,0,0,0,0,1},</v>
      </c>
    </row>
    <row r="168">
      <c r="B168" s="2" t="s">
        <v>90</v>
      </c>
      <c r="C168" s="3" t="str">
        <f>IFERROR(__xludf.DUMMYFUNCTION("join("","",'5-8 Level Maps'!S59:AH59)"),"1,0,1,1,1,0,1,5,1,0,1,1,1,0,5,1")</f>
        <v>1,0,1,1,1,0,1,5,1,0,1,1,1,0,5,1</v>
      </c>
      <c r="E168" s="2" t="s">
        <v>33</v>
      </c>
      <c r="G168" s="4" t="str">
        <f>IFERROR(__xludf.DUMMYFUNCTION("join("""",A168:E168)"),"{1,0,1,1,1,0,1,5,1,0,1,1,1,0,5,1},")</f>
        <v>{1,0,1,1,1,0,1,5,1,0,1,1,1,0,5,1},</v>
      </c>
    </row>
    <row r="169">
      <c r="B169" s="2" t="s">
        <v>90</v>
      </c>
      <c r="C169" s="3" t="str">
        <f>IFERROR(__xludf.DUMMYFUNCTION("join("","",'5-8 Level Maps'!S60:AH60)"),"1,0,0,0,0,0,1,0,0,0,0,0,0,0,1,1")</f>
        <v>1,0,0,0,0,0,1,0,0,0,0,0,0,0,1,1</v>
      </c>
      <c r="E169" s="2" t="s">
        <v>33</v>
      </c>
      <c r="G169" s="4" t="str">
        <f>IFERROR(__xludf.DUMMYFUNCTION("join("""",A169:E169)"),"{1,0,0,0,0,0,1,0,0,0,0,0,0,0,1,1},")</f>
        <v>{1,0,0,0,0,0,1,0,0,0,0,0,0,0,1,1},</v>
      </c>
    </row>
    <row r="170">
      <c r="B170" s="2" t="s">
        <v>90</v>
      </c>
      <c r="C170" s="3" t="str">
        <f>IFERROR(__xludf.DUMMYFUNCTION("join("","",'5-8 Level Maps'!S61:AH61)"),"1,1,0,1,1,1,1,0,1,1,1,0,1,1,1,1")</f>
        <v>1,1,0,1,1,1,1,0,1,1,1,0,1,1,1,1</v>
      </c>
      <c r="E170" s="2" t="s">
        <v>33</v>
      </c>
      <c r="G170" s="4" t="str">
        <f>IFERROR(__xludf.DUMMYFUNCTION("join("""",A170:E170)"),"{1,1,0,1,1,1,1,0,1,1,1,0,1,1,1,1},")</f>
        <v>{1,1,0,1,1,1,1,0,1,1,1,0,1,1,1,1},</v>
      </c>
    </row>
    <row r="171">
      <c r="B171" s="2" t="s">
        <v>90</v>
      </c>
      <c r="C171" s="3" t="str">
        <f>IFERROR(__xludf.DUMMYFUNCTION("join("","",'5-8 Level Maps'!S62:AH62)"),"1,0,0,0,0,0,0,0,0,0,5,0,0,0,0,1")</f>
        <v>1,0,0,0,0,0,0,0,0,0,5,0,0,0,0,1</v>
      </c>
      <c r="E171" s="2" t="s">
        <v>33</v>
      </c>
      <c r="G171" s="4" t="str">
        <f>IFERROR(__xludf.DUMMYFUNCTION("join("""",A171:E171)"),"{1,0,0,0,0,0,0,0,0,0,5,0,0,0,0,1},")</f>
        <v>{1,0,0,0,0,0,0,0,0,0,5,0,0,0,0,1},</v>
      </c>
    </row>
    <row r="172">
      <c r="B172" s="2" t="s">
        <v>90</v>
      </c>
      <c r="C172" s="3" t="str">
        <f>IFERROR(__xludf.DUMMYFUNCTION("join("","",'5-8 Level Maps'!S63:AH63)"),"1,0,1,5,0,1,1,0,1,0,1,1,0,5,1,1")</f>
        <v>1,0,1,5,0,1,1,0,1,0,1,1,0,5,1,1</v>
      </c>
      <c r="E172" s="2" t="s">
        <v>33</v>
      </c>
      <c r="G172" s="4" t="str">
        <f>IFERROR(__xludf.DUMMYFUNCTION("join("""",A172:E172)"),"{1,0,1,5,0,1,1,0,1,0,1,1,0,5,1,1},")</f>
        <v>{1,0,1,5,0,1,1,0,1,0,1,1,0,5,1,1},</v>
      </c>
    </row>
    <row r="173">
      <c r="B173" s="2" t="s">
        <v>90</v>
      </c>
      <c r="C173" s="3" t="str">
        <f>IFERROR(__xludf.DUMMYFUNCTION("join("","",'5-8 Level Maps'!S64:AH64)"),"1,6,0,0,0,0,0,0,0,0,0,0,0,0,3,1")</f>
        <v>1,6,0,0,0,0,0,0,0,0,0,0,0,0,3,1</v>
      </c>
      <c r="E173" s="2" t="s">
        <v>33</v>
      </c>
      <c r="G173" s="4" t="str">
        <f>IFERROR(__xludf.DUMMYFUNCTION("join("""",A173:E173)"),"{1,6,0,0,0,0,0,0,0,0,0,0,0,0,3,1},")</f>
        <v>{1,6,0,0,0,0,0,0,0,0,0,0,0,0,3,1},</v>
      </c>
    </row>
    <row r="174">
      <c r="B174" s="2" t="s">
        <v>90</v>
      </c>
      <c r="C174" s="3" t="str">
        <f>IFERROR(__xludf.DUMMYFUNCTION("join("","",'5-8 Level Maps'!S65:AH65)"),"1,1,1,1,1,1,1,1,1,1,1,1,1,1,1,1")</f>
        <v>1,1,1,1,1,1,1,1,1,1,1,1,1,1,1,1</v>
      </c>
      <c r="E174" s="2" t="s">
        <v>33</v>
      </c>
      <c r="G174" s="4" t="str">
        <f>IFERROR(__xludf.DUMMYFUNCTION("join("""",A174:E174)"),"{1,1,1,1,1,1,1,1,1,1,1,1,1,1,1,1},")</f>
        <v>{1,1,1,1,1,1,1,1,1,1,1,1,1,1,1,1},</v>
      </c>
    </row>
    <row r="175">
      <c r="A175" s="2" t="s">
        <v>33</v>
      </c>
      <c r="G175" s="4" t="str">
        <f>IFERROR(__xludf.DUMMYFUNCTION("join("""",A175:E175)"),"},")</f>
        <v>},</v>
      </c>
    </row>
    <row r="176">
      <c r="A176" s="2" t="s">
        <v>33</v>
      </c>
      <c r="G176" s="4" t="str">
        <f>IFERROR(__xludf.DUMMYFUNCTION("join("""",A176:E176)"),"},")</f>
        <v>},</v>
      </c>
    </row>
    <row r="177">
      <c r="A177" s="2" t="s">
        <v>97</v>
      </c>
      <c r="G177" s="4" t="str">
        <f>IFERROR(__xludf.DUMMYFUNCTION("join("""",A177:E177)"),"{ /* Level 7 - Chamber 7 (purple) */")</f>
        <v>{ /* Level 7 - Chamber 7 (purple) */</v>
      </c>
    </row>
    <row r="178">
      <c r="A178" s="2" t="s">
        <v>89</v>
      </c>
      <c r="G178" s="4" t="str">
        <f>IFERROR(__xludf.DUMMYFUNCTION("join("""",A178:E178)"),"{   /* Zone A */")</f>
        <v>{   /* Zone A */</v>
      </c>
    </row>
    <row r="179">
      <c r="B179" s="2" t="s">
        <v>90</v>
      </c>
      <c r="C179" s="3" t="str">
        <f>IFERROR(__xludf.DUMMYFUNCTION("join("","",'5-8 Level Maps'!S68:AH68)"),"1,1,1,1,1,1,1,1,1,1,1,1,1,1,1,1")</f>
        <v>1,1,1,1,1,1,1,1,1,1,1,1,1,1,1,1</v>
      </c>
      <c r="E179" s="2" t="s">
        <v>33</v>
      </c>
      <c r="G179" s="4" t="str">
        <f>IFERROR(__xludf.DUMMYFUNCTION("join("""",A179:E179)"),"{1,1,1,1,1,1,1,1,1,1,1,1,1,1,1,1},")</f>
        <v>{1,1,1,1,1,1,1,1,1,1,1,1,1,1,1,1},</v>
      </c>
    </row>
    <row r="180">
      <c r="B180" s="2" t="s">
        <v>90</v>
      </c>
      <c r="C180" s="3" t="str">
        <f>IFERROR(__xludf.DUMMYFUNCTION("join("","",'5-8 Level Maps'!S69:AH69)"),"1,0,0,0,0,0,1,0,0,4,0,0,1,0,0,1")</f>
        <v>1,0,0,0,0,0,1,0,0,4,0,0,1,0,0,1</v>
      </c>
      <c r="E180" s="2" t="s">
        <v>33</v>
      </c>
      <c r="G180" s="4" t="str">
        <f>IFERROR(__xludf.DUMMYFUNCTION("join("""",A180:E180)"),"{1,0,0,0,0,0,1,0,0,4,0,0,1,0,0,1},")</f>
        <v>{1,0,0,0,0,0,1,0,0,4,0,0,1,0,0,1},</v>
      </c>
    </row>
    <row r="181">
      <c r="B181" s="2" t="s">
        <v>90</v>
      </c>
      <c r="C181" s="3" t="str">
        <f>IFERROR(__xludf.DUMMYFUNCTION("join("","",'5-8 Level Maps'!S70:AH70)"),"1,5,1,0,1,0,1,0,1,5,1,0,1,0,0,1")</f>
        <v>1,5,1,0,1,0,1,0,1,5,1,0,1,0,0,1</v>
      </c>
      <c r="E181" s="2" t="s">
        <v>33</v>
      </c>
      <c r="G181" s="4" t="str">
        <f>IFERROR(__xludf.DUMMYFUNCTION("join("""",A181:E181)"),"{1,5,1,0,1,0,1,0,1,5,1,0,1,0,0,1},")</f>
        <v>{1,5,1,0,1,0,1,0,1,5,1,0,1,0,0,1},</v>
      </c>
    </row>
    <row r="182">
      <c r="B182" s="2" t="s">
        <v>90</v>
      </c>
      <c r="C182" s="3" t="str">
        <f>IFERROR(__xludf.DUMMYFUNCTION("join("","",'5-8 Level Maps'!S71:AH71)"),"1,0,1,0,4,0,0,4,1,0,0,0,2,0,0,1")</f>
        <v>1,0,1,0,4,0,0,4,1,0,0,0,2,0,0,1</v>
      </c>
      <c r="E182" s="2" t="s">
        <v>33</v>
      </c>
      <c r="G182" s="4" t="str">
        <f>IFERROR(__xludf.DUMMYFUNCTION("join("""",A182:E182)"),"{1,0,1,0,4,0,0,4,1,0,0,0,2,0,0,1},")</f>
        <v>{1,0,1,0,4,0,0,4,1,0,0,0,2,0,0,1},</v>
      </c>
    </row>
    <row r="183">
      <c r="B183" s="2" t="s">
        <v>90</v>
      </c>
      <c r="C183" s="3" t="str">
        <f>IFERROR(__xludf.DUMMYFUNCTION("join("","",'5-8 Level Maps'!S72:AH72)"),"1,0,1,1,0,5,5,0,1,0,1,1,1,1,0,1")</f>
        <v>1,0,1,1,0,5,5,0,1,0,1,1,1,1,0,1</v>
      </c>
      <c r="E183" s="2" t="s">
        <v>33</v>
      </c>
      <c r="G183" s="4" t="str">
        <f>IFERROR(__xludf.DUMMYFUNCTION("join("""",A183:E183)"),"{1,0,1,1,0,5,5,0,1,0,1,1,1,1,0,1},")</f>
        <v>{1,0,1,1,0,5,5,0,1,0,1,1,1,1,0,1},</v>
      </c>
    </row>
    <row r="184">
      <c r="B184" s="2" t="s">
        <v>90</v>
      </c>
      <c r="C184" s="3" t="str">
        <f>IFERROR(__xludf.DUMMYFUNCTION("join("","",'5-8 Level Maps'!S73:AH73)"),"1,0,0,0,0,0,0,0,0,0,5,0,0,0,0,1")</f>
        <v>1,0,0,0,0,0,0,0,0,0,5,0,0,0,0,1</v>
      </c>
      <c r="E184" s="2" t="s">
        <v>33</v>
      </c>
      <c r="G184" s="4" t="str">
        <f>IFERROR(__xludf.DUMMYFUNCTION("join("""",A184:E184)"),"{1,0,0,0,0,0,0,0,0,0,5,0,0,0,0,1},")</f>
        <v>{1,0,0,0,0,0,0,0,0,0,5,0,0,0,0,1},</v>
      </c>
    </row>
    <row r="185">
      <c r="B185" s="2" t="s">
        <v>90</v>
      </c>
      <c r="C185" s="3" t="str">
        <f>IFERROR(__xludf.DUMMYFUNCTION("join("","",'5-8 Level Maps'!S74:AH74)"),"1,1,5,1,0,1,1,0,1,5,1,1,0,5,1,1")</f>
        <v>1,1,5,1,0,1,1,0,1,5,1,1,0,5,1,1</v>
      </c>
      <c r="E185" s="2" t="s">
        <v>33</v>
      </c>
      <c r="G185" s="4" t="str">
        <f>IFERROR(__xludf.DUMMYFUNCTION("join("""",A185:E185)"),"{1,1,5,1,0,1,1,0,1,5,1,1,0,5,1,1},")</f>
        <v>{1,1,5,1,0,1,1,0,1,5,1,1,0,5,1,1},</v>
      </c>
    </row>
    <row r="186">
      <c r="B186" s="2" t="s">
        <v>90</v>
      </c>
      <c r="C186" s="3" t="str">
        <f>IFERROR(__xludf.DUMMYFUNCTION("join("","",'5-8 Level Maps'!S75:AH75)"),"1,0,0,0,0,0,0,0,0,0,0,0,0,0,6,1")</f>
        <v>1,0,0,0,0,0,0,0,0,0,0,0,0,0,6,1</v>
      </c>
      <c r="E186" s="2" t="s">
        <v>33</v>
      </c>
      <c r="G186" s="4" t="str">
        <f>IFERROR(__xludf.DUMMYFUNCTION("join("""",A186:E186)"),"{1,0,0,0,0,0,0,0,0,0,0,0,0,0,6,1},")</f>
        <v>{1,0,0,0,0,0,0,0,0,0,0,0,0,0,6,1},</v>
      </c>
    </row>
    <row r="187">
      <c r="B187" s="2" t="s">
        <v>90</v>
      </c>
      <c r="C187" s="3" t="str">
        <f>IFERROR(__xludf.DUMMYFUNCTION("join("","",'5-8 Level Maps'!S76:AH76)"),"1,1,1,1,1,1,1,1,1,1,1,1,1,1,1,1")</f>
        <v>1,1,1,1,1,1,1,1,1,1,1,1,1,1,1,1</v>
      </c>
      <c r="E187" s="2" t="s">
        <v>33</v>
      </c>
      <c r="G187" s="4" t="str">
        <f>IFERROR(__xludf.DUMMYFUNCTION("join("""",A187:E187)"),"{1,1,1,1,1,1,1,1,1,1,1,1,1,1,1,1},")</f>
        <v>{1,1,1,1,1,1,1,1,1,1,1,1,1,1,1,1},</v>
      </c>
    </row>
    <row r="188">
      <c r="A188" s="2" t="s">
        <v>33</v>
      </c>
      <c r="G188" s="4" t="str">
        <f>IFERROR(__xludf.DUMMYFUNCTION("join("""",A188:E188)"),"},")</f>
        <v>},</v>
      </c>
    </row>
    <row r="189">
      <c r="A189" s="2" t="s">
        <v>53</v>
      </c>
      <c r="G189" s="4" t="str">
        <f>IFERROR(__xludf.DUMMYFUNCTION("join("""",A189:E189)"),"{   /* Zone B */")</f>
        <v>{   /* Zone B */</v>
      </c>
    </row>
    <row r="190">
      <c r="B190" s="2" t="s">
        <v>90</v>
      </c>
      <c r="C190" s="3" t="str">
        <f>IFERROR(__xludf.DUMMYFUNCTION("join("","",'5-8 Level Maps'!S79:AH79)"),"1,1,1,1,1,1,1,1,1,1,1,1,1,1,1,1")</f>
        <v>1,1,1,1,1,1,1,1,1,1,1,1,1,1,1,1</v>
      </c>
      <c r="E190" s="2" t="s">
        <v>33</v>
      </c>
      <c r="G190" s="4" t="str">
        <f>IFERROR(__xludf.DUMMYFUNCTION("join("""",A190:E190)"),"{1,1,1,1,1,1,1,1,1,1,1,1,1,1,1,1},")</f>
        <v>{1,1,1,1,1,1,1,1,1,1,1,1,1,1,1,1},</v>
      </c>
    </row>
    <row r="191">
      <c r="B191" s="2" t="s">
        <v>90</v>
      </c>
      <c r="C191" s="3" t="str">
        <f>IFERROR(__xludf.DUMMYFUNCTION("join("","",'5-8 Level Maps'!S80:AH80)"),"1,2,0,0,0,0,1,0,0,0,0,0,1,1,4,1")</f>
        <v>1,2,0,0,0,0,1,0,0,0,0,0,1,1,4,1</v>
      </c>
      <c r="E191" s="2" t="s">
        <v>33</v>
      </c>
      <c r="G191" s="4" t="str">
        <f>IFERROR(__xludf.DUMMYFUNCTION("join("""",A191:E191)"),"{1,2,0,0,0,0,1,0,0,0,0,0,1,1,4,1},")</f>
        <v>{1,2,0,0,0,0,1,0,0,0,0,0,1,1,4,1},</v>
      </c>
    </row>
    <row r="192">
      <c r="B192" s="2" t="s">
        <v>90</v>
      </c>
      <c r="C192" s="3" t="str">
        <f>IFERROR(__xludf.DUMMYFUNCTION("join("","",'5-8 Level Maps'!S81:AH81)"),"1,5,1,0,1,0,1,0,1,5,1,0,1,0,5,1")</f>
        <v>1,5,1,0,1,0,1,0,1,5,1,0,1,0,5,1</v>
      </c>
      <c r="E192" s="2" t="s">
        <v>33</v>
      </c>
      <c r="G192" s="4" t="str">
        <f>IFERROR(__xludf.DUMMYFUNCTION("join("""",A192:E192)"),"{1,5,1,0,1,0,1,0,1,5,1,0,1,0,5,1},")</f>
        <v>{1,5,1,0,1,0,1,0,1,5,1,0,1,0,5,1},</v>
      </c>
    </row>
    <row r="193">
      <c r="B193" s="2" t="s">
        <v>90</v>
      </c>
      <c r="C193" s="3" t="str">
        <f>IFERROR(__xludf.DUMMYFUNCTION("join("","",'5-8 Level Maps'!S82:AH82)"),"1,4,1,0,0,0,0,0,1,0,0,0,0,0,1,1")</f>
        <v>1,4,1,0,0,0,0,0,1,0,0,0,0,0,1,1</v>
      </c>
      <c r="E193" s="2" t="s">
        <v>33</v>
      </c>
      <c r="G193" s="4" t="str">
        <f>IFERROR(__xludf.DUMMYFUNCTION("join("""",A193:E193)"),"{1,4,1,0,0,0,0,0,1,0,0,0,0,0,1,1},")</f>
        <v>{1,4,1,0,0,0,0,0,1,0,0,0,0,0,1,1},</v>
      </c>
    </row>
    <row r="194">
      <c r="B194" s="2" t="s">
        <v>90</v>
      </c>
      <c r="C194" s="3" t="str">
        <f>IFERROR(__xludf.DUMMYFUNCTION("join("","",'5-8 Level Maps'!S83:AH83)"),"1,0,1,1,1,1,0,1,1,0,1,1,1,1,1,1")</f>
        <v>1,0,1,1,1,1,0,1,1,0,1,1,1,1,1,1</v>
      </c>
      <c r="E194" s="2" t="s">
        <v>33</v>
      </c>
      <c r="G194" s="4" t="str">
        <f>IFERROR(__xludf.DUMMYFUNCTION("join("""",A194:E194)"),"{1,0,1,1,1,1,0,1,1,0,1,1,1,1,1,1},")</f>
        <v>{1,0,1,1,1,1,0,1,1,0,1,1,1,1,1,1},</v>
      </c>
    </row>
    <row r="195">
      <c r="B195" s="2" t="s">
        <v>90</v>
      </c>
      <c r="C195" s="3" t="str">
        <f>IFERROR(__xludf.DUMMYFUNCTION("join("","",'5-8 Level Maps'!S84:AH84)"),"1,0,0,0,0,0,0,0,0,0,5,0,0,0,3,1")</f>
        <v>1,0,0,0,0,0,0,0,0,0,5,0,0,0,3,1</v>
      </c>
      <c r="E195" s="2" t="s">
        <v>33</v>
      </c>
      <c r="G195" s="4" t="str">
        <f>IFERROR(__xludf.DUMMYFUNCTION("join("""",A195:E195)"),"{1,0,0,0,0,0,0,0,0,0,5,0,0,0,3,1},")</f>
        <v>{1,0,0,0,0,0,0,0,0,0,5,0,0,0,3,1},</v>
      </c>
    </row>
    <row r="196">
      <c r="B196" s="2" t="s">
        <v>90</v>
      </c>
      <c r="C196" s="3" t="str">
        <f>IFERROR(__xludf.DUMMYFUNCTION("join("","",'5-8 Level Maps'!S85:AH85)"),"1,1,5,1,0,1,1,0,1,5,1,1,0,5,1,1")</f>
        <v>1,1,5,1,0,1,1,0,1,5,1,1,0,5,1,1</v>
      </c>
      <c r="E196" s="2" t="s">
        <v>33</v>
      </c>
      <c r="G196" s="4" t="str">
        <f>IFERROR(__xludf.DUMMYFUNCTION("join("""",A196:E196)"),"{1,1,5,1,0,1,1,0,1,5,1,1,0,5,1,1},")</f>
        <v>{1,1,5,1,0,1,1,0,1,5,1,1,0,5,1,1},</v>
      </c>
    </row>
    <row r="197">
      <c r="B197" s="2" t="s">
        <v>90</v>
      </c>
      <c r="C197" s="3" t="str">
        <f>IFERROR(__xludf.DUMMYFUNCTION("join("","",'5-8 Level Maps'!S86:AH86)"),"1,6,0,0,0,0,0,0,0,0,0,0,0,1,4,1")</f>
        <v>1,6,0,0,0,0,0,0,0,0,0,0,0,1,4,1</v>
      </c>
      <c r="E197" s="2" t="s">
        <v>33</v>
      </c>
      <c r="G197" s="4" t="str">
        <f>IFERROR(__xludf.DUMMYFUNCTION("join("""",A197:E197)"),"{1,6,0,0,0,0,0,0,0,0,0,0,0,1,4,1},")</f>
        <v>{1,6,0,0,0,0,0,0,0,0,0,0,0,1,4,1},</v>
      </c>
    </row>
    <row r="198">
      <c r="B198" s="2" t="s">
        <v>90</v>
      </c>
      <c r="C198" s="3" t="str">
        <f>IFERROR(__xludf.DUMMYFUNCTION("join("","",'5-8 Level Maps'!S87:AH87)"),"1,1,1,1,1,1,1,1,1,1,1,1,1,1,1,1")</f>
        <v>1,1,1,1,1,1,1,1,1,1,1,1,1,1,1,1</v>
      </c>
      <c r="E198" s="2" t="s">
        <v>33</v>
      </c>
      <c r="G198" s="4" t="str">
        <f>IFERROR(__xludf.DUMMYFUNCTION("join("""",A198:E198)"),"{1,1,1,1,1,1,1,1,1,1,1,1,1,1,1,1},")</f>
        <v>{1,1,1,1,1,1,1,1,1,1,1,1,1,1,1,1},</v>
      </c>
    </row>
    <row r="199">
      <c r="A199" s="2" t="s">
        <v>33</v>
      </c>
      <c r="G199" s="4" t="str">
        <f>IFERROR(__xludf.DUMMYFUNCTION("join("""",A199:E199)"),"},")</f>
        <v>},</v>
      </c>
    </row>
    <row r="200">
      <c r="A200" s="2" t="s">
        <v>33</v>
      </c>
      <c r="G200" s="4" t="str">
        <f>IFERROR(__xludf.DUMMYFUNCTION("join("""",A200:E200)"),"},")</f>
        <v>},</v>
      </c>
    </row>
    <row r="201">
      <c r="A201" s="2" t="s">
        <v>98</v>
      </c>
      <c r="G201" s="4" t="str">
        <f>IFERROR(__xludf.DUMMYFUNCTION("join("""",A201:E201)"),"};")</f>
        <v>};</v>
      </c>
    </row>
    <row r="202">
      <c r="G202" s="4"/>
    </row>
    <row r="203">
      <c r="G203" s="4"/>
    </row>
    <row r="204">
      <c r="G204" s="4"/>
    </row>
    <row r="205">
      <c r="G205" s="4"/>
    </row>
    <row r="206">
      <c r="G206" s="4"/>
    </row>
    <row r="207">
      <c r="G207" s="4"/>
    </row>
    <row r="208">
      <c r="G208" s="4"/>
    </row>
    <row r="209">
      <c r="G209" s="4"/>
    </row>
    <row r="210">
      <c r="G210" s="4"/>
    </row>
    <row r="211">
      <c r="G211" s="4"/>
    </row>
    <row r="212">
      <c r="G212" s="4"/>
    </row>
    <row r="213">
      <c r="G213" s="4"/>
    </row>
    <row r="214">
      <c r="G214" s="4"/>
    </row>
    <row r="215">
      <c r="G215" s="4"/>
    </row>
    <row r="216">
      <c r="G216" s="4"/>
    </row>
    <row r="217">
      <c r="G217" s="4"/>
    </row>
    <row r="218">
      <c r="G218" s="4"/>
    </row>
    <row r="219">
      <c r="G219" s="4"/>
    </row>
    <row r="220">
      <c r="G220" s="4"/>
    </row>
    <row r="221">
      <c r="G221" s="4"/>
    </row>
    <row r="222">
      <c r="G222" s="4"/>
    </row>
    <row r="223">
      <c r="G223" s="4"/>
    </row>
    <row r="224">
      <c r="G224" s="4"/>
    </row>
    <row r="225">
      <c r="G225" s="4"/>
    </row>
    <row r="226">
      <c r="G226" s="4"/>
    </row>
    <row r="227">
      <c r="G227" s="4"/>
    </row>
    <row r="228">
      <c r="G228" s="4"/>
    </row>
    <row r="229">
      <c r="G229" s="4"/>
    </row>
    <row r="230">
      <c r="G230" s="4"/>
    </row>
    <row r="231">
      <c r="G231" s="4"/>
    </row>
    <row r="232">
      <c r="G232" s="4"/>
    </row>
    <row r="233">
      <c r="G233" s="4"/>
    </row>
    <row r="234">
      <c r="G234" s="4"/>
    </row>
    <row r="235">
      <c r="G235" s="4"/>
    </row>
    <row r="236">
      <c r="G236" s="4"/>
    </row>
    <row r="237">
      <c r="G237" s="4"/>
    </row>
    <row r="238">
      <c r="G238" s="4"/>
    </row>
    <row r="239">
      <c r="G239" s="4"/>
    </row>
    <row r="240">
      <c r="G240" s="4"/>
    </row>
    <row r="241">
      <c r="G241" s="4"/>
    </row>
    <row r="242">
      <c r="G242" s="4"/>
    </row>
    <row r="243">
      <c r="G243" s="4"/>
    </row>
    <row r="244">
      <c r="G244" s="4"/>
    </row>
    <row r="245">
      <c r="G245" s="4"/>
    </row>
    <row r="246">
      <c r="G246" s="4"/>
    </row>
    <row r="247">
      <c r="G247" s="4"/>
    </row>
    <row r="248">
      <c r="G248" s="4"/>
    </row>
    <row r="249">
      <c r="G249" s="4"/>
    </row>
    <row r="250">
      <c r="G250" s="4"/>
    </row>
    <row r="251">
      <c r="G251" s="4"/>
    </row>
    <row r="252">
      <c r="G252" s="4"/>
    </row>
    <row r="253">
      <c r="G253" s="4"/>
    </row>
    <row r="254">
      <c r="G254" s="4"/>
    </row>
    <row r="255">
      <c r="G255" s="4"/>
    </row>
    <row r="256">
      <c r="G256" s="4"/>
    </row>
    <row r="257">
      <c r="G257" s="4"/>
    </row>
    <row r="258">
      <c r="G258" s="4"/>
    </row>
    <row r="259">
      <c r="G259" s="4"/>
    </row>
    <row r="260">
      <c r="G260" s="4"/>
    </row>
    <row r="261">
      <c r="G261" s="4"/>
    </row>
    <row r="262">
      <c r="G262" s="4"/>
    </row>
    <row r="263">
      <c r="G263" s="4"/>
    </row>
    <row r="264">
      <c r="G264" s="4"/>
    </row>
    <row r="265">
      <c r="G265" s="4"/>
    </row>
    <row r="266">
      <c r="G266" s="4"/>
    </row>
    <row r="267">
      <c r="G267" s="4"/>
    </row>
    <row r="268">
      <c r="G268" s="4"/>
    </row>
    <row r="269">
      <c r="G269" s="4"/>
    </row>
    <row r="270">
      <c r="G270" s="4"/>
    </row>
    <row r="271">
      <c r="G271" s="4"/>
    </row>
    <row r="272">
      <c r="G272" s="4"/>
    </row>
    <row r="273">
      <c r="G273" s="4"/>
    </row>
    <row r="274">
      <c r="G274" s="4"/>
    </row>
    <row r="275">
      <c r="G275" s="4"/>
    </row>
    <row r="276">
      <c r="G276" s="4"/>
    </row>
    <row r="277">
      <c r="G277" s="4"/>
    </row>
    <row r="278">
      <c r="G278" s="4"/>
    </row>
    <row r="279">
      <c r="G279" s="4"/>
    </row>
    <row r="280">
      <c r="G280" s="4"/>
    </row>
    <row r="281">
      <c r="G281" s="4"/>
    </row>
    <row r="282">
      <c r="G282" s="4"/>
    </row>
    <row r="283">
      <c r="G283" s="4"/>
    </row>
    <row r="284">
      <c r="G284" s="4"/>
    </row>
    <row r="285">
      <c r="G285" s="4"/>
    </row>
    <row r="286">
      <c r="G286" s="4"/>
    </row>
    <row r="287">
      <c r="G287" s="4"/>
    </row>
    <row r="288">
      <c r="G288" s="4"/>
    </row>
    <row r="289">
      <c r="G289" s="4"/>
    </row>
    <row r="290">
      <c r="G290" s="4"/>
    </row>
    <row r="291">
      <c r="G291" s="4"/>
    </row>
    <row r="292">
      <c r="G292" s="4"/>
    </row>
    <row r="293">
      <c r="G293" s="4"/>
    </row>
    <row r="294">
      <c r="G294" s="4"/>
    </row>
    <row r="295">
      <c r="G295" s="4"/>
    </row>
    <row r="296">
      <c r="G296" s="4"/>
    </row>
    <row r="297">
      <c r="G297" s="4"/>
    </row>
    <row r="298">
      <c r="G298" s="4"/>
    </row>
    <row r="299">
      <c r="G299" s="4"/>
    </row>
    <row r="300">
      <c r="G300" s="4"/>
    </row>
    <row r="301">
      <c r="G301" s="4"/>
    </row>
    <row r="302">
      <c r="G302" s="4"/>
    </row>
    <row r="303">
      <c r="G303" s="4"/>
    </row>
    <row r="304">
      <c r="G304" s="4"/>
    </row>
    <row r="305">
      <c r="G305" s="4"/>
    </row>
    <row r="306">
      <c r="G306" s="4"/>
    </row>
    <row r="307">
      <c r="G307" s="4"/>
    </row>
    <row r="308">
      <c r="G308" s="4"/>
    </row>
    <row r="309">
      <c r="G309" s="4"/>
    </row>
    <row r="310">
      <c r="G310" s="4"/>
    </row>
    <row r="311">
      <c r="G311" s="4"/>
    </row>
    <row r="312">
      <c r="G312" s="4"/>
    </row>
    <row r="313">
      <c r="G313" s="4"/>
    </row>
    <row r="314">
      <c r="G314" s="4"/>
    </row>
    <row r="315">
      <c r="G315" s="4"/>
    </row>
    <row r="316">
      <c r="G316" s="4"/>
    </row>
    <row r="317">
      <c r="G317" s="4"/>
    </row>
    <row r="318">
      <c r="G318" s="4"/>
    </row>
    <row r="319">
      <c r="G319" s="4"/>
    </row>
    <row r="320">
      <c r="G320" s="4"/>
    </row>
    <row r="321">
      <c r="G321" s="4"/>
    </row>
    <row r="322">
      <c r="G322" s="4"/>
    </row>
    <row r="323">
      <c r="G323" s="4"/>
    </row>
    <row r="324">
      <c r="G324" s="4"/>
    </row>
    <row r="325">
      <c r="G325" s="4"/>
    </row>
    <row r="326">
      <c r="G326" s="4"/>
    </row>
    <row r="327">
      <c r="G327" s="4"/>
    </row>
    <row r="328">
      <c r="G328" s="4"/>
    </row>
    <row r="329">
      <c r="G329" s="4"/>
    </row>
    <row r="330">
      <c r="G330" s="4"/>
    </row>
    <row r="331">
      <c r="G331" s="4"/>
    </row>
    <row r="332">
      <c r="G332" s="4"/>
    </row>
    <row r="333">
      <c r="G333" s="4"/>
    </row>
    <row r="334">
      <c r="G334" s="4"/>
    </row>
    <row r="335">
      <c r="G335" s="4"/>
    </row>
    <row r="336">
      <c r="G336" s="4"/>
    </row>
    <row r="337">
      <c r="G337" s="4"/>
    </row>
    <row r="338">
      <c r="G338" s="4"/>
    </row>
    <row r="339">
      <c r="G339" s="4"/>
    </row>
    <row r="340">
      <c r="G340" s="4"/>
    </row>
    <row r="341">
      <c r="G341" s="4"/>
    </row>
    <row r="342">
      <c r="G342" s="4"/>
    </row>
    <row r="343">
      <c r="G343" s="4"/>
    </row>
    <row r="344">
      <c r="G344" s="4"/>
    </row>
    <row r="345">
      <c r="G345" s="4"/>
    </row>
    <row r="346">
      <c r="G346" s="4"/>
    </row>
    <row r="347">
      <c r="G347" s="4"/>
    </row>
    <row r="348">
      <c r="G348" s="4"/>
    </row>
    <row r="349">
      <c r="G349" s="4"/>
    </row>
    <row r="350">
      <c r="G350" s="4"/>
    </row>
    <row r="351">
      <c r="G351" s="4"/>
    </row>
    <row r="352">
      <c r="G352" s="4"/>
    </row>
    <row r="353">
      <c r="G353" s="4"/>
    </row>
    <row r="354">
      <c r="G354" s="4"/>
    </row>
    <row r="355">
      <c r="G355" s="4"/>
    </row>
    <row r="356">
      <c r="G356" s="4"/>
    </row>
    <row r="357">
      <c r="G357" s="4"/>
    </row>
    <row r="358">
      <c r="G358" s="4"/>
    </row>
    <row r="359">
      <c r="G359" s="4"/>
    </row>
    <row r="360">
      <c r="G360" s="4"/>
    </row>
    <row r="361">
      <c r="G361" s="4"/>
    </row>
    <row r="362">
      <c r="G362" s="4"/>
    </row>
    <row r="363">
      <c r="G363" s="4"/>
    </row>
    <row r="364">
      <c r="G364" s="4"/>
    </row>
    <row r="365">
      <c r="G365" s="4"/>
    </row>
    <row r="366">
      <c r="G366" s="4"/>
    </row>
    <row r="367">
      <c r="G367" s="4"/>
    </row>
    <row r="368">
      <c r="G368" s="4"/>
    </row>
    <row r="369">
      <c r="G369" s="4"/>
    </row>
    <row r="370">
      <c r="G370" s="4"/>
    </row>
    <row r="371">
      <c r="G371" s="4"/>
    </row>
    <row r="372">
      <c r="G372" s="4"/>
    </row>
    <row r="373">
      <c r="G373" s="4"/>
    </row>
    <row r="374">
      <c r="G374" s="4"/>
    </row>
    <row r="375">
      <c r="G375" s="4"/>
    </row>
    <row r="376">
      <c r="G376" s="4"/>
    </row>
    <row r="377">
      <c r="G377" s="4"/>
    </row>
    <row r="378">
      <c r="G378" s="4"/>
    </row>
    <row r="379">
      <c r="G379" s="4"/>
    </row>
    <row r="380">
      <c r="G380" s="4"/>
    </row>
    <row r="381">
      <c r="G381" s="4"/>
    </row>
    <row r="382">
      <c r="G382" s="4"/>
    </row>
    <row r="383">
      <c r="G383" s="4"/>
    </row>
    <row r="384">
      <c r="G384" s="4"/>
    </row>
    <row r="385">
      <c r="G385" s="4"/>
    </row>
    <row r="386">
      <c r="G386" s="4"/>
    </row>
    <row r="387">
      <c r="G387" s="4"/>
    </row>
    <row r="388">
      <c r="G388" s="4"/>
    </row>
    <row r="389">
      <c r="G389" s="4"/>
    </row>
    <row r="390">
      <c r="G390" s="4"/>
    </row>
    <row r="391">
      <c r="G391" s="4"/>
    </row>
    <row r="392">
      <c r="G392" s="4"/>
    </row>
    <row r="393">
      <c r="G393" s="4"/>
    </row>
    <row r="394">
      <c r="G394" s="4"/>
    </row>
    <row r="395">
      <c r="G395" s="4"/>
    </row>
    <row r="396">
      <c r="G396" s="4"/>
    </row>
    <row r="397">
      <c r="G397" s="4"/>
    </row>
    <row r="398">
      <c r="G398" s="4"/>
    </row>
    <row r="399">
      <c r="G399" s="4"/>
    </row>
    <row r="400">
      <c r="G400" s="4"/>
    </row>
    <row r="401">
      <c r="G401" s="4"/>
    </row>
    <row r="402">
      <c r="G402" s="4"/>
    </row>
    <row r="403">
      <c r="G403" s="4"/>
    </row>
    <row r="404">
      <c r="G404" s="4"/>
    </row>
    <row r="405">
      <c r="G405" s="4"/>
    </row>
    <row r="406">
      <c r="G406" s="4"/>
    </row>
    <row r="407">
      <c r="G407" s="4"/>
    </row>
    <row r="408">
      <c r="G408" s="4"/>
    </row>
    <row r="409">
      <c r="G409" s="4"/>
    </row>
    <row r="410">
      <c r="G410" s="4"/>
    </row>
    <row r="411">
      <c r="G411" s="4"/>
    </row>
    <row r="412">
      <c r="G412" s="4"/>
    </row>
    <row r="413">
      <c r="G413" s="4"/>
    </row>
    <row r="414">
      <c r="G414" s="4"/>
    </row>
    <row r="415">
      <c r="G415" s="4"/>
    </row>
    <row r="416">
      <c r="G416" s="4"/>
    </row>
    <row r="417">
      <c r="G417" s="4"/>
    </row>
    <row r="418">
      <c r="G418" s="4"/>
    </row>
    <row r="419">
      <c r="G419" s="4"/>
    </row>
    <row r="420">
      <c r="G420" s="4"/>
    </row>
    <row r="421">
      <c r="G421" s="4"/>
    </row>
    <row r="422">
      <c r="G422" s="4"/>
    </row>
    <row r="423">
      <c r="G423" s="4"/>
    </row>
    <row r="424">
      <c r="G424" s="4"/>
    </row>
    <row r="425">
      <c r="G425" s="4"/>
    </row>
    <row r="426">
      <c r="G426" s="4"/>
    </row>
    <row r="427">
      <c r="G427" s="4"/>
    </row>
    <row r="428">
      <c r="G428" s="4"/>
    </row>
    <row r="429">
      <c r="G429" s="4"/>
    </row>
    <row r="430">
      <c r="G430" s="4"/>
    </row>
    <row r="431">
      <c r="G431" s="4"/>
    </row>
    <row r="432">
      <c r="G432" s="4"/>
    </row>
    <row r="433">
      <c r="G433" s="4"/>
    </row>
    <row r="434">
      <c r="G434" s="4"/>
    </row>
    <row r="435">
      <c r="G435" s="4"/>
    </row>
    <row r="436">
      <c r="G436" s="4"/>
    </row>
    <row r="437">
      <c r="G437" s="4"/>
    </row>
    <row r="438">
      <c r="G438" s="4"/>
    </row>
    <row r="439">
      <c r="G439" s="4"/>
    </row>
    <row r="440">
      <c r="G440" s="4"/>
    </row>
    <row r="441">
      <c r="G441" s="4"/>
    </row>
    <row r="442">
      <c r="G442" s="4"/>
    </row>
    <row r="443">
      <c r="G443" s="4"/>
    </row>
    <row r="444">
      <c r="G444" s="4"/>
    </row>
    <row r="445">
      <c r="G445" s="4"/>
    </row>
    <row r="446">
      <c r="G446" s="4"/>
    </row>
    <row r="447">
      <c r="G447" s="4"/>
    </row>
    <row r="448">
      <c r="G448" s="4"/>
    </row>
    <row r="449">
      <c r="G449" s="4"/>
    </row>
    <row r="450">
      <c r="G450" s="4"/>
    </row>
    <row r="451">
      <c r="G451" s="4"/>
    </row>
    <row r="452">
      <c r="G452" s="4"/>
    </row>
    <row r="453">
      <c r="G453" s="4"/>
    </row>
    <row r="454">
      <c r="G454" s="4"/>
    </row>
    <row r="455">
      <c r="G455" s="4"/>
    </row>
    <row r="456">
      <c r="G456" s="4"/>
    </row>
    <row r="457">
      <c r="G457" s="4"/>
    </row>
    <row r="458">
      <c r="G458" s="4"/>
    </row>
    <row r="459">
      <c r="G459" s="4"/>
    </row>
    <row r="460">
      <c r="G460" s="4"/>
    </row>
    <row r="461">
      <c r="G461" s="4"/>
    </row>
    <row r="462">
      <c r="G462" s="4"/>
    </row>
    <row r="463">
      <c r="G463" s="4"/>
    </row>
    <row r="464">
      <c r="G464" s="4"/>
    </row>
    <row r="465">
      <c r="G465" s="4"/>
    </row>
    <row r="466">
      <c r="G466" s="4"/>
    </row>
    <row r="467">
      <c r="G467" s="4"/>
    </row>
    <row r="468">
      <c r="G468" s="4"/>
    </row>
    <row r="469">
      <c r="G469" s="4"/>
    </row>
    <row r="470">
      <c r="G470" s="4"/>
    </row>
    <row r="471">
      <c r="G471" s="4"/>
    </row>
    <row r="472">
      <c r="G472" s="4"/>
    </row>
    <row r="473">
      <c r="G473" s="4"/>
    </row>
    <row r="474">
      <c r="G474" s="4"/>
    </row>
    <row r="475">
      <c r="G475" s="4"/>
    </row>
    <row r="476">
      <c r="G476" s="4"/>
    </row>
    <row r="477">
      <c r="G477" s="4"/>
    </row>
    <row r="478">
      <c r="G478" s="4"/>
    </row>
    <row r="479">
      <c r="G479" s="4"/>
    </row>
    <row r="480">
      <c r="G480" s="4"/>
    </row>
    <row r="481">
      <c r="G481" s="4"/>
    </row>
    <row r="482">
      <c r="G482" s="4"/>
    </row>
    <row r="483">
      <c r="G483" s="4"/>
    </row>
    <row r="484">
      <c r="G484" s="4"/>
    </row>
    <row r="485">
      <c r="G485" s="4"/>
    </row>
    <row r="486">
      <c r="G486" s="4"/>
    </row>
    <row r="487">
      <c r="G487" s="4"/>
    </row>
    <row r="488">
      <c r="G488" s="4"/>
    </row>
    <row r="489">
      <c r="G489" s="4"/>
    </row>
    <row r="490">
      <c r="G490" s="4"/>
    </row>
    <row r="491">
      <c r="G491" s="4"/>
    </row>
    <row r="492">
      <c r="G492" s="4"/>
    </row>
    <row r="493">
      <c r="G493" s="4"/>
    </row>
    <row r="494">
      <c r="G494" s="4"/>
    </row>
    <row r="495">
      <c r="G495" s="4"/>
    </row>
    <row r="496">
      <c r="G496" s="4"/>
    </row>
    <row r="497">
      <c r="G497" s="4"/>
    </row>
    <row r="498">
      <c r="G498" s="4"/>
    </row>
    <row r="499">
      <c r="G499" s="4"/>
    </row>
    <row r="500">
      <c r="G500" s="4"/>
    </row>
    <row r="501">
      <c r="G501" s="4"/>
    </row>
    <row r="502">
      <c r="G502" s="4"/>
    </row>
    <row r="503">
      <c r="G503" s="4"/>
    </row>
    <row r="504">
      <c r="G504" s="4"/>
    </row>
    <row r="505">
      <c r="G505" s="4"/>
    </row>
    <row r="506">
      <c r="G506" s="4"/>
    </row>
    <row r="507">
      <c r="G507" s="4"/>
    </row>
    <row r="508">
      <c r="G508" s="4"/>
    </row>
    <row r="509">
      <c r="G509" s="4"/>
    </row>
    <row r="510">
      <c r="G510" s="4"/>
    </row>
    <row r="511">
      <c r="G511" s="4"/>
    </row>
    <row r="512">
      <c r="G512" s="4"/>
    </row>
    <row r="513">
      <c r="G513" s="4"/>
    </row>
    <row r="514">
      <c r="G514" s="4"/>
    </row>
    <row r="515">
      <c r="G515" s="4"/>
    </row>
    <row r="516">
      <c r="G516" s="4"/>
    </row>
    <row r="517">
      <c r="G517" s="4"/>
    </row>
    <row r="518">
      <c r="G518" s="4"/>
    </row>
    <row r="519">
      <c r="G519" s="4"/>
    </row>
    <row r="520">
      <c r="G520" s="4"/>
    </row>
    <row r="521">
      <c r="G521" s="4"/>
    </row>
    <row r="522">
      <c r="G522" s="4"/>
    </row>
    <row r="523">
      <c r="G523" s="4"/>
    </row>
    <row r="524">
      <c r="G524" s="4"/>
    </row>
    <row r="525">
      <c r="G525" s="4"/>
    </row>
    <row r="526">
      <c r="G526" s="4"/>
    </row>
    <row r="527">
      <c r="G527" s="4"/>
    </row>
    <row r="528">
      <c r="G528" s="4"/>
    </row>
    <row r="529">
      <c r="G529" s="4"/>
    </row>
    <row r="530">
      <c r="G530" s="4"/>
    </row>
    <row r="531">
      <c r="G531" s="4"/>
    </row>
    <row r="532">
      <c r="G532" s="4"/>
    </row>
    <row r="533">
      <c r="G533" s="4"/>
    </row>
    <row r="534">
      <c r="G534" s="4"/>
    </row>
    <row r="535">
      <c r="G535" s="4"/>
    </row>
    <row r="536">
      <c r="G536" s="4"/>
    </row>
    <row r="537">
      <c r="G537" s="4"/>
    </row>
    <row r="538">
      <c r="G538" s="4"/>
    </row>
    <row r="539">
      <c r="G539" s="4"/>
    </row>
    <row r="540">
      <c r="G540" s="4"/>
    </row>
    <row r="541">
      <c r="G541" s="4"/>
    </row>
    <row r="542">
      <c r="G542" s="4"/>
    </row>
    <row r="543">
      <c r="G543" s="4"/>
    </row>
    <row r="544">
      <c r="G544" s="4"/>
    </row>
    <row r="545">
      <c r="G545" s="4"/>
    </row>
    <row r="546">
      <c r="G546" s="4"/>
    </row>
    <row r="547">
      <c r="G547" s="4"/>
    </row>
    <row r="548">
      <c r="G548" s="4"/>
    </row>
    <row r="549">
      <c r="G549" s="4"/>
    </row>
    <row r="550">
      <c r="G550" s="4"/>
    </row>
    <row r="551">
      <c r="G551" s="4"/>
    </row>
    <row r="552">
      <c r="G552" s="4"/>
    </row>
    <row r="553">
      <c r="G553" s="4"/>
    </row>
    <row r="554">
      <c r="G554" s="4"/>
    </row>
    <row r="555">
      <c r="G555" s="4"/>
    </row>
    <row r="556">
      <c r="G556" s="4"/>
    </row>
    <row r="557">
      <c r="G557" s="4"/>
    </row>
    <row r="558">
      <c r="G558" s="4"/>
    </row>
    <row r="559">
      <c r="G559" s="4"/>
    </row>
    <row r="560">
      <c r="G560" s="4"/>
    </row>
    <row r="561">
      <c r="G561" s="4"/>
    </row>
    <row r="562">
      <c r="G562" s="4"/>
    </row>
    <row r="563">
      <c r="G563" s="4"/>
    </row>
    <row r="564">
      <c r="G564" s="4"/>
    </row>
    <row r="565">
      <c r="G565" s="4"/>
    </row>
    <row r="566">
      <c r="G566" s="4"/>
    </row>
    <row r="567">
      <c r="G567" s="4"/>
    </row>
    <row r="568">
      <c r="G568" s="4"/>
    </row>
    <row r="569">
      <c r="G569" s="4"/>
    </row>
    <row r="570">
      <c r="G570" s="4"/>
    </row>
    <row r="571">
      <c r="G571" s="4"/>
    </row>
    <row r="572">
      <c r="G572" s="4"/>
    </row>
    <row r="573">
      <c r="G573" s="4"/>
    </row>
    <row r="574">
      <c r="G574" s="4"/>
    </row>
    <row r="575">
      <c r="G575" s="4"/>
    </row>
    <row r="576">
      <c r="G576" s="4"/>
    </row>
    <row r="577">
      <c r="G577" s="4"/>
    </row>
    <row r="578">
      <c r="G578" s="4"/>
    </row>
    <row r="579">
      <c r="G579" s="4"/>
    </row>
    <row r="580">
      <c r="G580" s="4"/>
    </row>
    <row r="581">
      <c r="G581" s="4"/>
    </row>
    <row r="582">
      <c r="G582" s="4"/>
    </row>
    <row r="583">
      <c r="G583" s="4"/>
    </row>
    <row r="584">
      <c r="G584" s="4"/>
    </row>
    <row r="585">
      <c r="G585" s="4"/>
    </row>
    <row r="586">
      <c r="G586" s="4"/>
    </row>
    <row r="587">
      <c r="G587" s="4"/>
    </row>
    <row r="588">
      <c r="G588" s="4"/>
    </row>
    <row r="589">
      <c r="G589" s="4"/>
    </row>
    <row r="590">
      <c r="G590" s="4"/>
    </row>
    <row r="591">
      <c r="G591" s="4"/>
    </row>
    <row r="592">
      <c r="G592" s="4"/>
    </row>
    <row r="593">
      <c r="G593" s="4"/>
    </row>
    <row r="594">
      <c r="G594" s="4"/>
    </row>
    <row r="595">
      <c r="G595" s="4"/>
    </row>
    <row r="596">
      <c r="G596" s="4"/>
    </row>
    <row r="597">
      <c r="G597" s="4"/>
    </row>
    <row r="598">
      <c r="G598" s="4"/>
    </row>
    <row r="599">
      <c r="G599" s="4"/>
    </row>
    <row r="600">
      <c r="G600" s="4"/>
    </row>
    <row r="601">
      <c r="G601" s="4"/>
    </row>
    <row r="602">
      <c r="G602" s="4"/>
    </row>
    <row r="603">
      <c r="G603" s="4"/>
    </row>
    <row r="604">
      <c r="G604" s="4"/>
    </row>
    <row r="605">
      <c r="G605" s="4"/>
    </row>
    <row r="606">
      <c r="G606" s="4"/>
    </row>
    <row r="607">
      <c r="G607" s="4"/>
    </row>
    <row r="608">
      <c r="G608" s="4"/>
    </row>
    <row r="609">
      <c r="G609" s="4"/>
    </row>
    <row r="610">
      <c r="G610" s="4"/>
    </row>
    <row r="611">
      <c r="G611" s="4"/>
    </row>
    <row r="612">
      <c r="G612" s="4"/>
    </row>
    <row r="613">
      <c r="G613" s="4"/>
    </row>
    <row r="614">
      <c r="G614" s="4"/>
    </row>
    <row r="615">
      <c r="G615" s="4"/>
    </row>
    <row r="616">
      <c r="G616" s="4"/>
    </row>
    <row r="617">
      <c r="G617" s="4"/>
    </row>
    <row r="618">
      <c r="G618" s="4"/>
    </row>
    <row r="619">
      <c r="G619" s="4"/>
    </row>
    <row r="620">
      <c r="G620" s="4"/>
    </row>
    <row r="621">
      <c r="G621" s="4"/>
    </row>
    <row r="622">
      <c r="G622" s="4"/>
    </row>
    <row r="623">
      <c r="G623" s="4"/>
    </row>
    <row r="624">
      <c r="G624" s="4"/>
    </row>
    <row r="625">
      <c r="G625" s="4"/>
    </row>
    <row r="626">
      <c r="G626" s="4"/>
    </row>
    <row r="627">
      <c r="G627" s="4"/>
    </row>
    <row r="628">
      <c r="G628" s="4"/>
    </row>
    <row r="629">
      <c r="G629" s="4"/>
    </row>
    <row r="630">
      <c r="G630" s="4"/>
    </row>
    <row r="631">
      <c r="G631" s="4"/>
    </row>
    <row r="632">
      <c r="G632" s="4"/>
    </row>
    <row r="633">
      <c r="G633" s="4"/>
    </row>
    <row r="634">
      <c r="G634" s="4"/>
    </row>
    <row r="635">
      <c r="G635" s="4"/>
    </row>
    <row r="636">
      <c r="G636" s="4"/>
    </row>
    <row r="637">
      <c r="G637" s="4"/>
    </row>
    <row r="638">
      <c r="G638" s="4"/>
    </row>
    <row r="639">
      <c r="G639" s="4"/>
    </row>
    <row r="640">
      <c r="G640" s="4"/>
    </row>
    <row r="641">
      <c r="G641" s="4"/>
    </row>
    <row r="642">
      <c r="G642" s="4"/>
    </row>
    <row r="643">
      <c r="G643" s="4"/>
    </row>
    <row r="644">
      <c r="G644" s="4"/>
    </row>
    <row r="645">
      <c r="G645" s="4"/>
    </row>
    <row r="646">
      <c r="G646" s="4"/>
    </row>
    <row r="647">
      <c r="G647" s="4"/>
    </row>
    <row r="648">
      <c r="G648" s="4"/>
    </row>
    <row r="649">
      <c r="G649" s="4"/>
    </row>
    <row r="650">
      <c r="G650" s="4"/>
    </row>
    <row r="651">
      <c r="G651" s="4"/>
    </row>
    <row r="652">
      <c r="G652" s="4"/>
    </row>
    <row r="653">
      <c r="G653" s="4"/>
    </row>
    <row r="654">
      <c r="G654" s="4"/>
    </row>
    <row r="655">
      <c r="G655" s="4"/>
    </row>
    <row r="656">
      <c r="G656" s="4"/>
    </row>
    <row r="657">
      <c r="G657" s="4"/>
    </row>
    <row r="658">
      <c r="G658" s="4"/>
    </row>
    <row r="659">
      <c r="G659" s="4"/>
    </row>
    <row r="660">
      <c r="G660" s="4"/>
    </row>
    <row r="661">
      <c r="G661" s="4"/>
    </row>
    <row r="662">
      <c r="G662" s="4"/>
    </row>
    <row r="663">
      <c r="G663" s="4"/>
    </row>
    <row r="664">
      <c r="G664" s="4"/>
    </row>
    <row r="665">
      <c r="G665" s="4"/>
    </row>
    <row r="666">
      <c r="G666" s="4"/>
    </row>
    <row r="667">
      <c r="G667" s="4"/>
    </row>
    <row r="668">
      <c r="G668" s="4"/>
    </row>
    <row r="669">
      <c r="G669" s="4"/>
    </row>
    <row r="670">
      <c r="G670" s="4"/>
    </row>
    <row r="671">
      <c r="G671" s="4"/>
    </row>
    <row r="672">
      <c r="G672" s="4"/>
    </row>
    <row r="673">
      <c r="G673" s="4"/>
    </row>
    <row r="674">
      <c r="G674" s="4"/>
    </row>
    <row r="675">
      <c r="G675" s="4"/>
    </row>
    <row r="676">
      <c r="G676" s="4"/>
    </row>
    <row r="677">
      <c r="G677" s="4"/>
    </row>
    <row r="678">
      <c r="G678" s="4"/>
    </row>
    <row r="679">
      <c r="G679" s="4"/>
    </row>
    <row r="680">
      <c r="G680" s="4"/>
    </row>
    <row r="681">
      <c r="G681" s="4"/>
    </row>
    <row r="682">
      <c r="G682" s="4"/>
    </row>
    <row r="683">
      <c r="G683" s="4"/>
    </row>
    <row r="684">
      <c r="G684" s="4"/>
    </row>
    <row r="685">
      <c r="G685" s="4"/>
    </row>
    <row r="686">
      <c r="G686" s="4"/>
    </row>
    <row r="687">
      <c r="G687" s="4"/>
    </row>
    <row r="688">
      <c r="G688" s="4"/>
    </row>
    <row r="689">
      <c r="G689" s="4"/>
    </row>
    <row r="690">
      <c r="G690" s="4"/>
    </row>
    <row r="691">
      <c r="G691" s="4"/>
    </row>
    <row r="692">
      <c r="G692" s="4"/>
    </row>
    <row r="693">
      <c r="G693" s="4"/>
    </row>
    <row r="694">
      <c r="G694" s="4"/>
    </row>
    <row r="695">
      <c r="G695" s="4"/>
    </row>
    <row r="696">
      <c r="G696" s="4"/>
    </row>
    <row r="697">
      <c r="G697" s="4"/>
    </row>
    <row r="698">
      <c r="G698" s="4"/>
    </row>
    <row r="699">
      <c r="G699" s="4"/>
    </row>
    <row r="700">
      <c r="G700" s="4"/>
    </row>
    <row r="701">
      <c r="G701" s="4"/>
    </row>
    <row r="702">
      <c r="G702" s="4"/>
    </row>
    <row r="703">
      <c r="G703" s="4"/>
    </row>
    <row r="704">
      <c r="G704" s="4"/>
    </row>
    <row r="705">
      <c r="G705" s="4"/>
    </row>
    <row r="706">
      <c r="G706" s="4"/>
    </row>
    <row r="707">
      <c r="G707" s="4"/>
    </row>
    <row r="708">
      <c r="G708" s="4"/>
    </row>
    <row r="709">
      <c r="G709" s="4"/>
    </row>
    <row r="710">
      <c r="G710" s="4"/>
    </row>
    <row r="711">
      <c r="G711" s="4"/>
    </row>
    <row r="712">
      <c r="G712" s="4"/>
    </row>
    <row r="713">
      <c r="G713" s="4"/>
    </row>
    <row r="714">
      <c r="G714" s="4"/>
    </row>
    <row r="715">
      <c r="G715" s="4"/>
    </row>
    <row r="716">
      <c r="G716" s="4"/>
    </row>
    <row r="717">
      <c r="G717" s="4"/>
    </row>
    <row r="718">
      <c r="G718" s="4"/>
    </row>
    <row r="719">
      <c r="G719" s="4"/>
    </row>
    <row r="720">
      <c r="G720" s="4"/>
    </row>
    <row r="721">
      <c r="G721" s="4"/>
    </row>
    <row r="722">
      <c r="G722" s="4"/>
    </row>
    <row r="723">
      <c r="G723" s="4"/>
    </row>
    <row r="724">
      <c r="G724" s="4"/>
    </row>
    <row r="725">
      <c r="G725" s="4"/>
    </row>
    <row r="726">
      <c r="G726" s="4"/>
    </row>
    <row r="727">
      <c r="G727" s="4"/>
    </row>
    <row r="728">
      <c r="G728" s="4"/>
    </row>
    <row r="729">
      <c r="G729" s="4"/>
    </row>
    <row r="730">
      <c r="G730" s="4"/>
    </row>
    <row r="731">
      <c r="G731" s="4"/>
    </row>
    <row r="732">
      <c r="G732" s="4"/>
    </row>
    <row r="733">
      <c r="G733" s="4"/>
    </row>
    <row r="734">
      <c r="G734" s="4"/>
    </row>
    <row r="735">
      <c r="G735" s="4"/>
    </row>
    <row r="736">
      <c r="G736" s="4"/>
    </row>
    <row r="737">
      <c r="G737" s="4"/>
    </row>
    <row r="738">
      <c r="G738" s="4"/>
    </row>
    <row r="739">
      <c r="G739" s="4"/>
    </row>
    <row r="740">
      <c r="G740" s="4"/>
    </row>
    <row r="741">
      <c r="G741" s="4"/>
    </row>
    <row r="742">
      <c r="G742" s="4"/>
    </row>
    <row r="743">
      <c r="G743" s="4"/>
    </row>
    <row r="744">
      <c r="G744" s="4"/>
    </row>
    <row r="745">
      <c r="G745" s="4"/>
    </row>
    <row r="746">
      <c r="G746" s="4"/>
    </row>
    <row r="747">
      <c r="G747" s="4"/>
    </row>
    <row r="748">
      <c r="G748" s="4"/>
    </row>
    <row r="749">
      <c r="G749" s="4"/>
    </row>
    <row r="750">
      <c r="G750" s="4"/>
    </row>
    <row r="751">
      <c r="G751" s="4"/>
    </row>
    <row r="752">
      <c r="G752" s="4"/>
    </row>
    <row r="753">
      <c r="G753" s="4"/>
    </row>
    <row r="754">
      <c r="G754" s="4"/>
    </row>
    <row r="755">
      <c r="G755" s="4"/>
    </row>
    <row r="756">
      <c r="G756" s="4"/>
    </row>
    <row r="757">
      <c r="G757" s="4"/>
    </row>
    <row r="758">
      <c r="G758" s="4"/>
    </row>
    <row r="759">
      <c r="G759" s="4"/>
    </row>
    <row r="760">
      <c r="G760" s="4"/>
    </row>
    <row r="761">
      <c r="G761" s="4"/>
    </row>
    <row r="762">
      <c r="G762" s="4"/>
    </row>
    <row r="763">
      <c r="G763" s="4"/>
    </row>
    <row r="764">
      <c r="G764" s="4"/>
    </row>
    <row r="765">
      <c r="G765" s="4"/>
    </row>
    <row r="766">
      <c r="G766" s="4"/>
    </row>
    <row r="767">
      <c r="G767" s="4"/>
    </row>
    <row r="768">
      <c r="G768" s="4"/>
    </row>
    <row r="769">
      <c r="G769" s="4"/>
    </row>
    <row r="770">
      <c r="G770" s="4"/>
    </row>
    <row r="771">
      <c r="G771" s="4"/>
    </row>
    <row r="772">
      <c r="G772" s="4"/>
    </row>
    <row r="773">
      <c r="G773" s="4"/>
    </row>
    <row r="774">
      <c r="G774" s="4"/>
    </row>
    <row r="775">
      <c r="G775" s="4"/>
    </row>
    <row r="776">
      <c r="G776" s="4"/>
    </row>
    <row r="777">
      <c r="G777" s="4"/>
    </row>
    <row r="778">
      <c r="G778" s="4"/>
    </row>
    <row r="779">
      <c r="G779" s="4"/>
    </row>
    <row r="780">
      <c r="G780" s="4"/>
    </row>
    <row r="781">
      <c r="G781" s="4"/>
    </row>
    <row r="782">
      <c r="G782" s="4"/>
    </row>
    <row r="783">
      <c r="G783" s="4"/>
    </row>
    <row r="784">
      <c r="G784" s="4"/>
    </row>
    <row r="785">
      <c r="G785" s="4"/>
    </row>
    <row r="786">
      <c r="G786" s="4"/>
    </row>
    <row r="787">
      <c r="G787" s="4"/>
    </row>
    <row r="788">
      <c r="G788" s="4"/>
    </row>
    <row r="789">
      <c r="G789" s="4"/>
    </row>
    <row r="790">
      <c r="G790" s="4"/>
    </row>
    <row r="791">
      <c r="G791" s="4"/>
    </row>
    <row r="792">
      <c r="G792" s="4"/>
    </row>
    <row r="793">
      <c r="G793" s="4"/>
    </row>
    <row r="794">
      <c r="G794" s="4"/>
    </row>
    <row r="795">
      <c r="G795" s="4"/>
    </row>
    <row r="796">
      <c r="G796" s="4"/>
    </row>
    <row r="797">
      <c r="G797" s="4"/>
    </row>
    <row r="798">
      <c r="G798" s="4"/>
    </row>
    <row r="799">
      <c r="G799" s="4"/>
    </row>
    <row r="800">
      <c r="G800" s="4"/>
    </row>
    <row r="801">
      <c r="G801" s="4"/>
    </row>
    <row r="802">
      <c r="G802" s="4"/>
    </row>
    <row r="803">
      <c r="G803" s="4"/>
    </row>
    <row r="804">
      <c r="G804" s="4"/>
    </row>
    <row r="805">
      <c r="G805" s="4"/>
    </row>
    <row r="806">
      <c r="G806" s="4"/>
    </row>
    <row r="807">
      <c r="G807" s="4"/>
    </row>
    <row r="808">
      <c r="G808" s="4"/>
    </row>
    <row r="809">
      <c r="G809" s="4"/>
    </row>
    <row r="810">
      <c r="G810" s="4"/>
    </row>
    <row r="811">
      <c r="G811" s="4"/>
    </row>
    <row r="812">
      <c r="G812" s="4"/>
    </row>
    <row r="813">
      <c r="G813" s="4"/>
    </row>
    <row r="814">
      <c r="G814" s="4"/>
    </row>
    <row r="815">
      <c r="G815" s="4"/>
    </row>
    <row r="816">
      <c r="G816" s="4"/>
    </row>
    <row r="817">
      <c r="G817" s="4"/>
    </row>
    <row r="818">
      <c r="G818" s="4"/>
    </row>
    <row r="819">
      <c r="G819" s="4"/>
    </row>
    <row r="820">
      <c r="G820" s="4"/>
    </row>
    <row r="821">
      <c r="G821" s="4"/>
    </row>
    <row r="822">
      <c r="G822" s="4"/>
    </row>
    <row r="823">
      <c r="G823" s="4"/>
    </row>
    <row r="824">
      <c r="G824" s="4"/>
    </row>
    <row r="825">
      <c r="G825" s="4"/>
    </row>
    <row r="826">
      <c r="G826" s="4"/>
    </row>
    <row r="827">
      <c r="G827" s="4"/>
    </row>
    <row r="828">
      <c r="G828" s="4"/>
    </row>
    <row r="829">
      <c r="G829" s="4"/>
    </row>
    <row r="830">
      <c r="G830" s="4"/>
    </row>
    <row r="831">
      <c r="G831" s="4"/>
    </row>
    <row r="832">
      <c r="G832" s="4"/>
    </row>
    <row r="833">
      <c r="G833" s="4"/>
    </row>
    <row r="834">
      <c r="G834" s="4"/>
    </row>
    <row r="835">
      <c r="G835" s="4"/>
    </row>
    <row r="836">
      <c r="G836" s="4"/>
    </row>
    <row r="837">
      <c r="G837" s="4"/>
    </row>
    <row r="838">
      <c r="G838" s="4"/>
    </row>
    <row r="839">
      <c r="G839" s="4"/>
    </row>
    <row r="840">
      <c r="G840" s="4"/>
    </row>
    <row r="841">
      <c r="G841" s="4"/>
    </row>
    <row r="842">
      <c r="G842" s="4"/>
    </row>
    <row r="843">
      <c r="G843" s="4"/>
    </row>
    <row r="844">
      <c r="G844" s="4"/>
    </row>
    <row r="845">
      <c r="G845" s="4"/>
    </row>
    <row r="846">
      <c r="G846" s="4"/>
    </row>
    <row r="847">
      <c r="G847" s="4"/>
    </row>
    <row r="848">
      <c r="G848" s="4"/>
    </row>
    <row r="849">
      <c r="G849" s="4"/>
    </row>
    <row r="850">
      <c r="G850" s="4"/>
    </row>
    <row r="851">
      <c r="G851" s="4"/>
    </row>
    <row r="852">
      <c r="G852" s="4"/>
    </row>
    <row r="853">
      <c r="G853" s="4"/>
    </row>
    <row r="854">
      <c r="G854" s="4"/>
    </row>
    <row r="855">
      <c r="G855" s="4"/>
    </row>
    <row r="856">
      <c r="G856" s="4"/>
    </row>
    <row r="857">
      <c r="G857" s="4"/>
    </row>
    <row r="858">
      <c r="G858" s="4"/>
    </row>
    <row r="859">
      <c r="G859" s="4"/>
    </row>
    <row r="860">
      <c r="G860" s="4"/>
    </row>
    <row r="861">
      <c r="G861" s="4"/>
    </row>
    <row r="862">
      <c r="G862" s="4"/>
    </row>
    <row r="863">
      <c r="G863" s="4"/>
    </row>
    <row r="864">
      <c r="G864" s="4"/>
    </row>
    <row r="865">
      <c r="G865" s="4"/>
    </row>
    <row r="866">
      <c r="G866" s="4"/>
    </row>
    <row r="867">
      <c r="G867" s="4"/>
    </row>
    <row r="868">
      <c r="G868" s="4"/>
    </row>
    <row r="869">
      <c r="G869" s="4"/>
    </row>
    <row r="870">
      <c r="G870" s="4"/>
    </row>
    <row r="871">
      <c r="G871" s="4"/>
    </row>
    <row r="872">
      <c r="G872" s="4"/>
    </row>
    <row r="873">
      <c r="G873" s="4"/>
    </row>
    <row r="874">
      <c r="G874" s="4"/>
    </row>
    <row r="875">
      <c r="G875" s="4"/>
    </row>
    <row r="876">
      <c r="G876" s="4"/>
    </row>
    <row r="877">
      <c r="G877" s="4"/>
    </row>
    <row r="878">
      <c r="G878" s="4"/>
    </row>
    <row r="879">
      <c r="G879" s="4"/>
    </row>
    <row r="880">
      <c r="G880" s="4"/>
    </row>
    <row r="881">
      <c r="G881" s="4"/>
    </row>
    <row r="882">
      <c r="G882" s="4"/>
    </row>
    <row r="883">
      <c r="G883" s="4"/>
    </row>
    <row r="884">
      <c r="G884" s="4"/>
    </row>
    <row r="885">
      <c r="G885" s="4"/>
    </row>
    <row r="886">
      <c r="G886" s="4"/>
    </row>
    <row r="887">
      <c r="G887" s="4"/>
    </row>
    <row r="888">
      <c r="G888" s="4"/>
    </row>
    <row r="889">
      <c r="G889" s="4"/>
    </row>
    <row r="890">
      <c r="G890" s="4"/>
    </row>
    <row r="891">
      <c r="G891" s="4"/>
    </row>
    <row r="892">
      <c r="G892" s="4"/>
    </row>
    <row r="893">
      <c r="G893" s="4"/>
    </row>
    <row r="894">
      <c r="G894" s="4"/>
    </row>
    <row r="895">
      <c r="G895" s="4"/>
    </row>
    <row r="896">
      <c r="G896" s="4"/>
    </row>
    <row r="897">
      <c r="G897" s="4"/>
    </row>
    <row r="898">
      <c r="G898" s="4"/>
    </row>
    <row r="899">
      <c r="G899" s="4"/>
    </row>
    <row r="900">
      <c r="G900" s="4"/>
    </row>
    <row r="901">
      <c r="G901" s="4"/>
    </row>
    <row r="902">
      <c r="G902" s="4"/>
    </row>
    <row r="903">
      <c r="G903" s="4"/>
    </row>
    <row r="904">
      <c r="G904" s="4"/>
    </row>
    <row r="905">
      <c r="G905" s="4"/>
    </row>
    <row r="906">
      <c r="G906" s="4"/>
    </row>
    <row r="907">
      <c r="G907" s="4"/>
    </row>
    <row r="908">
      <c r="G908" s="4"/>
    </row>
    <row r="909">
      <c r="G909" s="4"/>
    </row>
    <row r="910">
      <c r="G910" s="4"/>
    </row>
    <row r="911">
      <c r="G911" s="4"/>
    </row>
    <row r="912">
      <c r="G912" s="4"/>
    </row>
    <row r="913">
      <c r="G913" s="4"/>
    </row>
    <row r="914">
      <c r="G914" s="4"/>
    </row>
    <row r="915">
      <c r="G915" s="4"/>
    </row>
    <row r="916">
      <c r="G916" s="4"/>
    </row>
    <row r="917">
      <c r="G917" s="4"/>
    </row>
    <row r="918">
      <c r="G918" s="4"/>
    </row>
    <row r="919">
      <c r="G919" s="4"/>
    </row>
    <row r="920">
      <c r="G920" s="4"/>
    </row>
    <row r="921">
      <c r="G921" s="4"/>
    </row>
    <row r="922">
      <c r="G922" s="4"/>
    </row>
    <row r="923">
      <c r="G923" s="4"/>
    </row>
    <row r="924">
      <c r="G924" s="4"/>
    </row>
    <row r="925">
      <c r="G925" s="4"/>
    </row>
    <row r="926">
      <c r="G926" s="4"/>
    </row>
    <row r="927">
      <c r="G927" s="4"/>
    </row>
    <row r="928">
      <c r="G928" s="4"/>
    </row>
    <row r="929">
      <c r="G929" s="4"/>
    </row>
    <row r="930">
      <c r="G930" s="4"/>
    </row>
    <row r="931">
      <c r="G931" s="4"/>
    </row>
    <row r="932">
      <c r="G932" s="4"/>
    </row>
    <row r="933">
      <c r="G933" s="4"/>
    </row>
    <row r="934">
      <c r="G934" s="4"/>
    </row>
    <row r="935">
      <c r="G935" s="4"/>
    </row>
    <row r="936">
      <c r="G936" s="4"/>
    </row>
    <row r="937">
      <c r="G937" s="4"/>
    </row>
    <row r="938">
      <c r="G938" s="4"/>
    </row>
    <row r="939">
      <c r="G939" s="4"/>
    </row>
    <row r="940">
      <c r="G940" s="4"/>
    </row>
    <row r="941">
      <c r="G941" s="4"/>
    </row>
    <row r="942">
      <c r="G942" s="4"/>
    </row>
    <row r="943">
      <c r="G943" s="4"/>
    </row>
    <row r="944">
      <c r="G944" s="4"/>
    </row>
    <row r="945">
      <c r="G945" s="4"/>
    </row>
    <row r="946">
      <c r="G946" s="4"/>
    </row>
    <row r="947">
      <c r="G947" s="4"/>
    </row>
    <row r="948">
      <c r="G948" s="4"/>
    </row>
    <row r="949">
      <c r="G949" s="4"/>
    </row>
    <row r="950">
      <c r="G950" s="4"/>
    </row>
    <row r="951">
      <c r="G951" s="4"/>
    </row>
    <row r="952">
      <c r="G952" s="4"/>
    </row>
    <row r="953">
      <c r="G953" s="4"/>
    </row>
    <row r="954">
      <c r="G954" s="4"/>
    </row>
    <row r="955">
      <c r="G955" s="4"/>
    </row>
    <row r="956">
      <c r="G956" s="4"/>
    </row>
    <row r="957">
      <c r="G957" s="4"/>
    </row>
    <row r="958">
      <c r="G958" s="4"/>
    </row>
    <row r="959">
      <c r="G959" s="4"/>
    </row>
    <row r="960">
      <c r="G960" s="4"/>
    </row>
    <row r="961">
      <c r="G961" s="4"/>
    </row>
    <row r="962">
      <c r="G962" s="4"/>
    </row>
    <row r="963">
      <c r="G963" s="4"/>
    </row>
    <row r="964">
      <c r="G964" s="4"/>
    </row>
    <row r="965">
      <c r="G965" s="4"/>
    </row>
    <row r="966">
      <c r="G966" s="4"/>
    </row>
    <row r="967">
      <c r="G967" s="4"/>
    </row>
    <row r="968">
      <c r="G968" s="4"/>
    </row>
    <row r="969">
      <c r="G969" s="4"/>
    </row>
    <row r="970">
      <c r="G970" s="4"/>
    </row>
    <row r="971">
      <c r="G971" s="4"/>
    </row>
    <row r="972">
      <c r="G972" s="4"/>
    </row>
    <row r="973">
      <c r="G973" s="4"/>
    </row>
    <row r="974">
      <c r="G974" s="4"/>
    </row>
    <row r="975">
      <c r="G975" s="4"/>
    </row>
    <row r="976">
      <c r="G976" s="4"/>
    </row>
    <row r="977">
      <c r="G977" s="4"/>
    </row>
    <row r="978">
      <c r="G978" s="4"/>
    </row>
    <row r="979">
      <c r="G979" s="4"/>
    </row>
    <row r="980">
      <c r="G980" s="4"/>
    </row>
    <row r="981">
      <c r="G981" s="4"/>
    </row>
    <row r="982">
      <c r="G982" s="4"/>
    </row>
    <row r="983">
      <c r="G983" s="4"/>
    </row>
    <row r="984">
      <c r="G984" s="4"/>
    </row>
    <row r="985">
      <c r="G985" s="4"/>
    </row>
    <row r="986">
      <c r="G986" s="4"/>
    </row>
    <row r="987">
      <c r="G987" s="4"/>
    </row>
    <row r="988">
      <c r="G988" s="4"/>
    </row>
    <row r="989">
      <c r="G989" s="4"/>
    </row>
    <row r="990">
      <c r="G990" s="4"/>
    </row>
    <row r="991">
      <c r="G991" s="4"/>
    </row>
    <row r="992">
      <c r="G992" s="4"/>
    </row>
    <row r="993">
      <c r="G993" s="4"/>
    </row>
    <row r="994">
      <c r="G994" s="4"/>
    </row>
    <row r="995">
      <c r="G995" s="4"/>
    </row>
    <row r="996">
      <c r="G996" s="4"/>
    </row>
    <row r="997">
      <c r="G997" s="4"/>
    </row>
    <row r="998">
      <c r="G998" s="4"/>
    </row>
    <row r="999">
      <c r="G999" s="4"/>
    </row>
    <row r="1000">
      <c r="G1000" s="4"/>
    </row>
    <row r="1001">
      <c r="G1001" s="4"/>
    </row>
    <row r="1002">
      <c r="G1002" s="4"/>
    </row>
    <row r="1003">
      <c r="G1003" s="4"/>
    </row>
    <row r="1004">
      <c r="G1004" s="4"/>
    </row>
    <row r="1005">
      <c r="G1005" s="4"/>
    </row>
    <row r="1006">
      <c r="G1006" s="4"/>
    </row>
    <row r="1007">
      <c r="G1007" s="4"/>
    </row>
    <row r="1008">
      <c r="G1008" s="4"/>
    </row>
    <row r="1009">
      <c r="G1009" s="4"/>
    </row>
    <row r="1010">
      <c r="G1010" s="4"/>
    </row>
    <row r="1011">
      <c r="G1011" s="4"/>
    </row>
    <row r="1012">
      <c r="G1012" s="4"/>
    </row>
    <row r="1013">
      <c r="G1013" s="4"/>
    </row>
    <row r="1014">
      <c r="G1014" s="4"/>
    </row>
    <row r="1015">
      <c r="G1015" s="4"/>
    </row>
  </sheetData>
  <drawing r:id="rId1"/>
</worksheet>
</file>